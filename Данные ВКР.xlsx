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goroskin/Documents/"/>
    </mc:Choice>
  </mc:AlternateContent>
  <xr:revisionPtr revIDLastSave="0" documentId="13_ncr:1_{1D79EF4B-87FB-6446-9572-C4D0B48F5311}" xr6:coauthVersionLast="47" xr6:coauthVersionMax="47" xr10:uidLastSave="{00000000-0000-0000-0000-000000000000}"/>
  <bookViews>
    <workbookView xWindow="4060" yWindow="3260" windowWidth="27240" windowHeight="16180" xr2:uid="{63F4273F-ED79-E04D-BA15-F6ACA8FB2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2" i="1" l="1"/>
  <c r="I71" i="1" s="1"/>
  <c r="I70" i="1" s="1"/>
  <c r="I69" i="1" s="1"/>
  <c r="I68" i="1" s="1"/>
  <c r="I67" i="1" s="1"/>
  <c r="I66" i="1" s="1"/>
  <c r="I65" i="1" s="1"/>
  <c r="I64" i="1" s="1"/>
  <c r="I63" i="1" s="1"/>
  <c r="I62" i="1" s="1"/>
  <c r="I61" i="1" s="1"/>
  <c r="I60" i="1" s="1"/>
  <c r="I59" i="1" s="1"/>
  <c r="I58" i="1" s="1"/>
  <c r="I57" i="1" s="1"/>
  <c r="I56" i="1" s="1"/>
  <c r="I55" i="1" s="1"/>
  <c r="I54" i="1" s="1"/>
  <c r="I53" i="1" s="1"/>
  <c r="I52" i="1" s="1"/>
  <c r="I51" i="1" s="1"/>
  <c r="I50" i="1" s="1"/>
  <c r="I49" i="1" s="1"/>
  <c r="I48" i="1" s="1"/>
  <c r="I47" i="1" s="1"/>
  <c r="I46" i="1" s="1"/>
  <c r="I45" i="1" s="1"/>
  <c r="I44" i="1" s="1"/>
  <c r="I43" i="1" s="1"/>
  <c r="I42" i="1" s="1"/>
  <c r="I41" i="1" s="1"/>
  <c r="I40" i="1" s="1"/>
  <c r="I39" i="1" s="1"/>
  <c r="I38" i="1" s="1"/>
  <c r="I37" i="1" s="1"/>
  <c r="I36" i="1" s="1"/>
  <c r="I35" i="1" s="1"/>
  <c r="I34" i="1" s="1"/>
  <c r="I33" i="1" s="1"/>
  <c r="I32" i="1" s="1"/>
  <c r="I31" i="1" s="1"/>
  <c r="I30" i="1" s="1"/>
  <c r="I29" i="1" s="1"/>
  <c r="I28" i="1" s="1"/>
  <c r="I27" i="1" s="1"/>
  <c r="I26" i="1" s="1"/>
  <c r="I25" i="1" s="1"/>
  <c r="I24" i="1" s="1"/>
  <c r="I23" i="1" s="1"/>
  <c r="I22" i="1" s="1"/>
  <c r="I21" i="1" s="1"/>
  <c r="I20" i="1" s="1"/>
  <c r="I19" i="1" s="1"/>
  <c r="I18" i="1" s="1"/>
  <c r="I17" i="1" s="1"/>
  <c r="I16" i="1" s="1"/>
  <c r="I15" i="1" s="1"/>
  <c r="I14" i="1" s="1"/>
  <c r="I13" i="1" s="1"/>
  <c r="I12" i="1" s="1"/>
  <c r="I11" i="1" s="1"/>
  <c r="I10" i="1" s="1"/>
  <c r="I9" i="1" s="1"/>
  <c r="I8" i="1" s="1"/>
  <c r="I7" i="1" s="1"/>
  <c r="I6" i="1" s="1"/>
  <c r="I5" i="1" s="1"/>
  <c r="I4" i="1" s="1"/>
  <c r="I3" i="1" s="1"/>
  <c r="I2" i="1" s="1"/>
  <c r="I74" i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G73" i="1"/>
  <c r="G72" i="1" s="1"/>
  <c r="G71" i="1" s="1"/>
  <c r="G70" i="1" s="1"/>
  <c r="G69" i="1" s="1"/>
  <c r="G68" i="1" s="1"/>
  <c r="G67" i="1" s="1"/>
  <c r="G66" i="1" s="1"/>
  <c r="G65" i="1" s="1"/>
  <c r="G64" i="1" s="1"/>
  <c r="G63" i="1" s="1"/>
  <c r="G62" i="1" s="1"/>
  <c r="G61" i="1" s="1"/>
  <c r="G60" i="1" s="1"/>
  <c r="G59" i="1" s="1"/>
  <c r="G58" i="1" s="1"/>
  <c r="G57" i="1" s="1"/>
  <c r="G56" i="1" s="1"/>
  <c r="G55" i="1" s="1"/>
  <c r="G54" i="1" s="1"/>
  <c r="G53" i="1" s="1"/>
  <c r="G52" i="1" s="1"/>
  <c r="G51" i="1" s="1"/>
  <c r="G50" i="1" s="1"/>
  <c r="G49" i="1" s="1"/>
  <c r="G48" i="1" s="1"/>
  <c r="G47" i="1" s="1"/>
  <c r="G46" i="1" s="1"/>
  <c r="G45" i="1" s="1"/>
  <c r="G44" i="1" s="1"/>
  <c r="G43" i="1" s="1"/>
  <c r="G42" i="1" s="1"/>
  <c r="G41" i="1" s="1"/>
  <c r="G40" i="1" s="1"/>
  <c r="G39" i="1" s="1"/>
  <c r="G38" i="1" s="1"/>
  <c r="G37" i="1" s="1"/>
  <c r="G36" i="1" s="1"/>
  <c r="G35" i="1" s="1"/>
  <c r="G34" i="1" s="1"/>
  <c r="G33" i="1" s="1"/>
  <c r="G32" i="1" s="1"/>
  <c r="G31" i="1" s="1"/>
  <c r="G30" i="1" s="1"/>
  <c r="G29" i="1" s="1"/>
  <c r="G28" i="1" s="1"/>
  <c r="G27" i="1" s="1"/>
  <c r="G26" i="1" s="1"/>
  <c r="G25" i="1" s="1"/>
  <c r="G24" i="1" s="1"/>
  <c r="G23" i="1" s="1"/>
  <c r="G22" i="1" s="1"/>
  <c r="G21" i="1" s="1"/>
  <c r="G20" i="1" s="1"/>
  <c r="G19" i="1" s="1"/>
  <c r="G18" i="1" s="1"/>
  <c r="G17" i="1" s="1"/>
  <c r="G16" i="1" s="1"/>
  <c r="G15" i="1" s="1"/>
  <c r="G14" i="1" s="1"/>
  <c r="G13" i="1" s="1"/>
  <c r="G12" i="1" s="1"/>
  <c r="G11" i="1" s="1"/>
  <c r="G10" i="1" s="1"/>
  <c r="G75" i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9" i="1" l="1"/>
  <c r="G8" i="1" s="1"/>
  <c r="G7" i="1" s="1"/>
  <c r="G6" i="1" s="1"/>
  <c r="G5" i="1" s="1"/>
  <c r="G4" i="1" s="1"/>
  <c r="G3" i="1" s="1"/>
  <c r="G2" i="1" s="1"/>
  <c r="E75" i="1" l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73" i="1"/>
  <c r="E72" i="1" s="1"/>
  <c r="E71" i="1" s="1"/>
  <c r="E70" i="1" s="1"/>
  <c r="E69" i="1" s="1"/>
  <c r="E68" i="1" s="1"/>
  <c r="E67" i="1" s="1"/>
  <c r="E66" i="1" s="1"/>
  <c r="E65" i="1" s="1"/>
  <c r="E64" i="1" s="1"/>
  <c r="E63" i="1" s="1"/>
  <c r="E62" i="1" s="1"/>
  <c r="E61" i="1" s="1"/>
  <c r="E60" i="1" s="1"/>
  <c r="E59" i="1" s="1"/>
  <c r="E58" i="1" s="1"/>
  <c r="E57" i="1" s="1"/>
  <c r="E56" i="1" s="1"/>
  <c r="E55" i="1" s="1"/>
  <c r="E54" i="1" s="1"/>
  <c r="E53" i="1" s="1"/>
  <c r="E52" i="1" s="1"/>
  <c r="E51" i="1" s="1"/>
  <c r="E50" i="1" s="1"/>
  <c r="E49" i="1" s="1"/>
  <c r="E48" i="1" s="1"/>
  <c r="E47" i="1" s="1"/>
  <c r="E46" i="1" s="1"/>
  <c r="E45" i="1" s="1"/>
  <c r="E44" i="1" s="1"/>
  <c r="E43" i="1" s="1"/>
  <c r="E42" i="1" s="1"/>
  <c r="E41" i="1" s="1"/>
  <c r="E40" i="1" s="1"/>
  <c r="E39" i="1" s="1"/>
  <c r="E38" i="1" s="1"/>
  <c r="E37" i="1" s="1"/>
  <c r="E36" i="1" s="1"/>
  <c r="E35" i="1" s="1"/>
  <c r="E34" i="1" s="1"/>
  <c r="E33" i="1" s="1"/>
  <c r="E32" i="1" s="1"/>
  <c r="E31" i="1" s="1"/>
  <c r="E30" i="1" s="1"/>
  <c r="E29" i="1" s="1"/>
  <c r="E28" i="1" s="1"/>
  <c r="E27" i="1" s="1"/>
  <c r="E26" i="1" s="1"/>
  <c r="E25" i="1" s="1"/>
  <c r="E24" i="1" s="1"/>
  <c r="E23" i="1" s="1"/>
  <c r="E22" i="1" s="1"/>
  <c r="E21" i="1" s="1"/>
  <c r="E20" i="1" s="1"/>
  <c r="E19" i="1" s="1"/>
  <c r="E18" i="1" s="1"/>
  <c r="E17" i="1" s="1"/>
  <c r="E16" i="1" s="1"/>
  <c r="E15" i="1" s="1"/>
  <c r="E14" i="1" s="1"/>
  <c r="E13" i="1" s="1"/>
  <c r="E12" i="1" s="1"/>
  <c r="E11" i="1" s="1"/>
  <c r="E10" i="1" s="1"/>
  <c r="E9" i="1" s="1"/>
  <c r="E8" i="1" s="1"/>
  <c r="E7" i="1" s="1"/>
  <c r="E6" i="1" s="1"/>
  <c r="E5" i="1" s="1"/>
  <c r="E4" i="1" s="1"/>
  <c r="E3" i="1" s="1"/>
  <c r="E2" i="1" s="1"/>
  <c r="C75" i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73" i="1"/>
  <c r="C72" i="1" s="1"/>
  <c r="C71" i="1" s="1"/>
  <c r="C70" i="1" s="1"/>
  <c r="C69" i="1" s="1"/>
  <c r="C68" i="1" s="1"/>
  <c r="C67" i="1" s="1"/>
  <c r="C66" i="1" s="1"/>
  <c r="C65" i="1" s="1"/>
  <c r="C64" i="1" s="1"/>
  <c r="C63" i="1" s="1"/>
  <c r="C62" i="1" s="1"/>
  <c r="C61" i="1" s="1"/>
  <c r="C60" i="1" s="1"/>
  <c r="C59" i="1" s="1"/>
  <c r="C58" i="1" s="1"/>
  <c r="C57" i="1" s="1"/>
  <c r="C56" i="1" s="1"/>
  <c r="C55" i="1" s="1"/>
  <c r="C54" i="1" s="1"/>
  <c r="C53" i="1" s="1"/>
  <c r="C52" i="1" s="1"/>
  <c r="C51" i="1" s="1"/>
  <c r="C50" i="1" s="1"/>
  <c r="C49" i="1" s="1"/>
  <c r="C48" i="1" s="1"/>
  <c r="C47" i="1" s="1"/>
  <c r="C46" i="1" s="1"/>
  <c r="C45" i="1" s="1"/>
  <c r="C44" i="1" s="1"/>
  <c r="C43" i="1" s="1"/>
  <c r="C42" i="1" s="1"/>
  <c r="C41" i="1" s="1"/>
  <c r="C40" i="1" s="1"/>
  <c r="C39" i="1" s="1"/>
  <c r="C38" i="1" s="1"/>
  <c r="C37" i="1" s="1"/>
  <c r="C36" i="1" s="1"/>
  <c r="C35" i="1" s="1"/>
  <c r="C34" i="1" s="1"/>
  <c r="C33" i="1" s="1"/>
  <c r="C32" i="1" s="1"/>
  <c r="C31" i="1" s="1"/>
  <c r="C30" i="1" s="1"/>
  <c r="C29" i="1" s="1"/>
  <c r="C28" i="1" s="1"/>
  <c r="C27" i="1" s="1"/>
  <c r="C26" i="1" s="1"/>
  <c r="C25" i="1" s="1"/>
  <c r="C24" i="1" s="1"/>
  <c r="C23" i="1" s="1"/>
  <c r="C22" i="1" s="1"/>
  <c r="C21" i="1" s="1"/>
  <c r="C20" i="1" s="1"/>
  <c r="C19" i="1" s="1"/>
  <c r="C18" i="1" s="1"/>
  <c r="C17" i="1" s="1"/>
  <c r="C16" i="1" s="1"/>
  <c r="C15" i="1" s="1"/>
  <c r="C14" i="1" s="1"/>
  <c r="C13" i="1" s="1"/>
  <c r="C12" i="1" s="1"/>
  <c r="C11" i="1" s="1"/>
  <c r="C10" i="1" s="1"/>
  <c r="C9" i="1" s="1"/>
  <c r="C8" i="1" s="1"/>
  <c r="C7" i="1" s="1"/>
  <c r="C6" i="1" s="1"/>
  <c r="C5" i="1" s="1"/>
  <c r="C4" i="1" s="1"/>
  <c r="C3" i="1" s="1"/>
  <c r="C2" i="1" s="1"/>
</calcChain>
</file>

<file path=xl/sharedStrings.xml><?xml version="1.0" encoding="utf-8"?>
<sst xmlns="http://schemas.openxmlformats.org/spreadsheetml/2006/main" count="230" uniqueCount="230">
  <si>
    <t>ИПП</t>
  </si>
  <si>
    <t>ИПП совмещенные</t>
  </si>
  <si>
    <t>Оборот розничной торговли в % к предыдущему периоду</t>
  </si>
  <si>
    <t>ОБОРОТ new</t>
  </si>
  <si>
    <t>Объем платных услуг населению</t>
  </si>
  <si>
    <t>ИПЦ</t>
  </si>
  <si>
    <t>Объем платных услуг населению new</t>
  </si>
  <si>
    <t>ИПЦ new</t>
  </si>
  <si>
    <t>доллар</t>
  </si>
  <si>
    <t>MOEX</t>
  </si>
  <si>
    <t>ключевая ставка</t>
  </si>
  <si>
    <t>BRENT USD</t>
  </si>
  <si>
    <t>VIX</t>
  </si>
  <si>
    <t>01,01,2008</t>
  </si>
  <si>
    <t>01,02,2008</t>
  </si>
  <si>
    <t>01,03,2008</t>
  </si>
  <si>
    <t>01,04,2008</t>
  </si>
  <si>
    <t>01,05,2008</t>
  </si>
  <si>
    <t>01,06,2008</t>
  </si>
  <si>
    <t>01,07,2008</t>
  </si>
  <si>
    <t>01,08,2008</t>
  </si>
  <si>
    <t>01,09,2008</t>
  </si>
  <si>
    <t>01,10,2008</t>
  </si>
  <si>
    <t>01,11,2008</t>
  </si>
  <si>
    <t>01,12,2008</t>
  </si>
  <si>
    <t>01,01,2009</t>
  </si>
  <si>
    <t>01,02,2009</t>
  </si>
  <si>
    <t>01,03,2009</t>
  </si>
  <si>
    <t>01,04,2009</t>
  </si>
  <si>
    <t>01,05,2009</t>
  </si>
  <si>
    <t>01,06,2009</t>
  </si>
  <si>
    <t>01,07,2009</t>
  </si>
  <si>
    <t>01,08,2009</t>
  </si>
  <si>
    <t>01,09,2009</t>
  </si>
  <si>
    <t>01,10,2009</t>
  </si>
  <si>
    <t>01,11,2009</t>
  </si>
  <si>
    <t>01,12,2009</t>
  </si>
  <si>
    <t>01,01,2010</t>
  </si>
  <si>
    <t>01,02,2010</t>
  </si>
  <si>
    <t>01,03,2010</t>
  </si>
  <si>
    <t>01,04,2010</t>
  </si>
  <si>
    <t>01,05,2010</t>
  </si>
  <si>
    <t>01,06,2010</t>
  </si>
  <si>
    <t>01,07,2010</t>
  </si>
  <si>
    <t>01,08,2010</t>
  </si>
  <si>
    <t>01,09,2010</t>
  </si>
  <si>
    <t>01,10,2010</t>
  </si>
  <si>
    <t>01,11,2010</t>
  </si>
  <si>
    <t>01,12,2010</t>
  </si>
  <si>
    <t>01,01,2011</t>
  </si>
  <si>
    <t>01,02,2011</t>
  </si>
  <si>
    <t>01,03,2011</t>
  </si>
  <si>
    <t>01,04,2011</t>
  </si>
  <si>
    <t>01,05,2011</t>
  </si>
  <si>
    <t>01,06,2011</t>
  </si>
  <si>
    <t>01,07,2011</t>
  </si>
  <si>
    <t>01,08,2011</t>
  </si>
  <si>
    <t>01,09,2011</t>
  </si>
  <si>
    <t>01,10,2011</t>
  </si>
  <si>
    <t>01,11,2011</t>
  </si>
  <si>
    <t>01,12,2011</t>
  </si>
  <si>
    <t>01,01,2012</t>
  </si>
  <si>
    <t>01,02,2012</t>
  </si>
  <si>
    <t>01,03,2012</t>
  </si>
  <si>
    <t>01,04,2012</t>
  </si>
  <si>
    <t>01,05,2012</t>
  </si>
  <si>
    <t>01,06,2012</t>
  </si>
  <si>
    <t>01,07,2012</t>
  </si>
  <si>
    <t>01,08,2012</t>
  </si>
  <si>
    <t>01,09,2012</t>
  </si>
  <si>
    <t>01,10,2012</t>
  </si>
  <si>
    <t>01,11,2012</t>
  </si>
  <si>
    <t>01,12,2012</t>
  </si>
  <si>
    <t>01,01,2013</t>
  </si>
  <si>
    <t>01,02,2013</t>
  </si>
  <si>
    <t>01,03,2013</t>
  </si>
  <si>
    <t>01,04,2013</t>
  </si>
  <si>
    <t>01,05,2013</t>
  </si>
  <si>
    <t>01,06,2013</t>
  </si>
  <si>
    <t>01,07,2013</t>
  </si>
  <si>
    <t>01,08,2013</t>
  </si>
  <si>
    <t>01,09,2013</t>
  </si>
  <si>
    <t>01,10,2013</t>
  </si>
  <si>
    <t>01,11,2013</t>
  </si>
  <si>
    <t>01,12,2013</t>
  </si>
  <si>
    <t>01,01,2014</t>
  </si>
  <si>
    <t>01,02,2014</t>
  </si>
  <si>
    <t>01,03,2014</t>
  </si>
  <si>
    <t>01,04,2014</t>
  </si>
  <si>
    <t>01,05,2014</t>
  </si>
  <si>
    <t>01,06,2014</t>
  </si>
  <si>
    <t>01,07,2014</t>
  </si>
  <si>
    <t>01,08,2014</t>
  </si>
  <si>
    <t>01,09,2014</t>
  </si>
  <si>
    <t>01,10,2014</t>
  </si>
  <si>
    <t>01,11,2014</t>
  </si>
  <si>
    <t>01,12,2014</t>
  </si>
  <si>
    <t>01,01,2015</t>
  </si>
  <si>
    <t>01,02,2015</t>
  </si>
  <si>
    <t>01,03,2015</t>
  </si>
  <si>
    <t>01,04,2015</t>
  </si>
  <si>
    <t>01,05,2015</t>
  </si>
  <si>
    <t>01,06,2015</t>
  </si>
  <si>
    <t>01,07,2015</t>
  </si>
  <si>
    <t>01,08,2015</t>
  </si>
  <si>
    <t>01,09,2015</t>
  </si>
  <si>
    <t>01,10,2015</t>
  </si>
  <si>
    <t>01,11,2015</t>
  </si>
  <si>
    <t>01,12,2015</t>
  </si>
  <si>
    <t>01,01,2016</t>
  </si>
  <si>
    <t>01,02,2016</t>
  </si>
  <si>
    <t>01,03,2016</t>
  </si>
  <si>
    <t>01,04,2016</t>
  </si>
  <si>
    <t>01,05,2016</t>
  </si>
  <si>
    <t>01,06,2016</t>
  </si>
  <si>
    <t>01,07,2016</t>
  </si>
  <si>
    <t>01,08,2016</t>
  </si>
  <si>
    <t>01,09,2016</t>
  </si>
  <si>
    <t>01,10,2016</t>
  </si>
  <si>
    <t>01,11,2016</t>
  </si>
  <si>
    <t>01,12,2016</t>
  </si>
  <si>
    <t>01,01,2017</t>
  </si>
  <si>
    <t>01,02,2017</t>
  </si>
  <si>
    <t>01,03,2017</t>
  </si>
  <si>
    <t>01,04,2017</t>
  </si>
  <si>
    <t>01,05,2017</t>
  </si>
  <si>
    <t>01,06,2017</t>
  </si>
  <si>
    <t>01,07,2017</t>
  </si>
  <si>
    <t>01,08,2017</t>
  </si>
  <si>
    <t>01,09,2017</t>
  </si>
  <si>
    <t>01,10,2017</t>
  </si>
  <si>
    <t>01,11,2017</t>
  </si>
  <si>
    <t>01,12,2017</t>
  </si>
  <si>
    <t>01,01,2018</t>
  </si>
  <si>
    <t>01,02,2018</t>
  </si>
  <si>
    <t>01,03,2018</t>
  </si>
  <si>
    <t>01,04,2018</t>
  </si>
  <si>
    <t>01,05,2018</t>
  </si>
  <si>
    <t>01,06,2018</t>
  </si>
  <si>
    <t>01,07,2018</t>
  </si>
  <si>
    <t>01,08,2018</t>
  </si>
  <si>
    <t>01,09,2018</t>
  </si>
  <si>
    <t>01,10,2018</t>
  </si>
  <si>
    <t>01,11,2018</t>
  </si>
  <si>
    <t>01,12,2018</t>
  </si>
  <si>
    <t>01,01,2019</t>
  </si>
  <si>
    <t>01,02,2019</t>
  </si>
  <si>
    <t>01,03,2019</t>
  </si>
  <si>
    <t>01,04,2019</t>
  </si>
  <si>
    <t>01,05,2019</t>
  </si>
  <si>
    <t>01,06,2019</t>
  </si>
  <si>
    <t>01,07,2019</t>
  </si>
  <si>
    <t>01,08,2019</t>
  </si>
  <si>
    <t>01,09,2019</t>
  </si>
  <si>
    <t>01,10,2019</t>
  </si>
  <si>
    <t>01,11,2019</t>
  </si>
  <si>
    <t>01,12,2019</t>
  </si>
  <si>
    <t>01,01,2020</t>
  </si>
  <si>
    <t>01,02,2020</t>
  </si>
  <si>
    <t>01,03,2020</t>
  </si>
  <si>
    <t>01,04,2020</t>
  </si>
  <si>
    <t>01,05,2020</t>
  </si>
  <si>
    <t>01,06,2020</t>
  </si>
  <si>
    <t>01,07,2020</t>
  </si>
  <si>
    <t>01,08,2020</t>
  </si>
  <si>
    <t>01,09,2020</t>
  </si>
  <si>
    <t>01,10,2020</t>
  </si>
  <si>
    <t>01,11,2020</t>
  </si>
  <si>
    <t>01,12,2020</t>
  </si>
  <si>
    <t>01,01,2021</t>
  </si>
  <si>
    <t>01,02,2021</t>
  </si>
  <si>
    <t>01,03,2021</t>
  </si>
  <si>
    <t>01,04,2021</t>
  </si>
  <si>
    <t>01,05,2021</t>
  </si>
  <si>
    <t>01,06,2021</t>
  </si>
  <si>
    <t>01,07,2021</t>
  </si>
  <si>
    <t>01,08,2021</t>
  </si>
  <si>
    <t>01,09,2021</t>
  </si>
  <si>
    <t>01,10,2021</t>
  </si>
  <si>
    <t>01,11,2021</t>
  </si>
  <si>
    <t>01,12,2021</t>
  </si>
  <si>
    <t>01,01,2022</t>
  </si>
  <si>
    <t>01,02,2022</t>
  </si>
  <si>
    <t>01,03,2022</t>
  </si>
  <si>
    <t>01,04,2022</t>
  </si>
  <si>
    <t>01,05,2022</t>
  </si>
  <si>
    <t>01,06,2022</t>
  </si>
  <si>
    <t>01,07,2022</t>
  </si>
  <si>
    <t>01,08,2022</t>
  </si>
  <si>
    <t>01,09,2022</t>
  </si>
  <si>
    <t>01,10,2022</t>
  </si>
  <si>
    <t>01,11,2022</t>
  </si>
  <si>
    <t>01,12,2022</t>
  </si>
  <si>
    <t>01,01,2023</t>
  </si>
  <si>
    <t>01,02,2023</t>
  </si>
  <si>
    <t>01,03,2023</t>
  </si>
  <si>
    <t>01,04,2023</t>
  </si>
  <si>
    <t>01,05,2023</t>
  </si>
  <si>
    <t>01,06,2023</t>
  </si>
  <si>
    <t>01,07,2023</t>
  </si>
  <si>
    <t>01,08,2023</t>
  </si>
  <si>
    <t>01,09,2023</t>
  </si>
  <si>
    <t>01,10,2023</t>
  </si>
  <si>
    <t>01,11,2023</t>
  </si>
  <si>
    <t>01,12,2023</t>
  </si>
  <si>
    <t>01,01,2024</t>
  </si>
  <si>
    <t>01,02,2024</t>
  </si>
  <si>
    <t>01,03,2024</t>
  </si>
  <si>
    <t>01,04,2024</t>
  </si>
  <si>
    <t>01,05,2024</t>
  </si>
  <si>
    <t>01,06,2024</t>
  </si>
  <si>
    <t>01,07,2024</t>
  </si>
  <si>
    <t>01,08,2024</t>
  </si>
  <si>
    <t>01,09,2024</t>
  </si>
  <si>
    <t>01,10,2024</t>
  </si>
  <si>
    <t>01,11,2024</t>
  </si>
  <si>
    <t>01,12,2024</t>
  </si>
  <si>
    <t>01,01,2025</t>
  </si>
  <si>
    <t>01,02,2025</t>
  </si>
  <si>
    <t>01,03,2025</t>
  </si>
  <si>
    <t>01,04,2025</t>
  </si>
  <si>
    <t>01,05,2025</t>
  </si>
  <si>
    <t>01,06,2025</t>
  </si>
  <si>
    <t>01,07,2025</t>
  </si>
  <si>
    <t>01,08,2025</t>
  </si>
  <si>
    <t>01,09,2025</t>
  </si>
  <si>
    <t>01,10,2025</t>
  </si>
  <si>
    <t>01,11,2025</t>
  </si>
  <si>
    <t>01,12,2025</t>
  </si>
  <si>
    <t>GPR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</si>
</sst>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0.000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right" vertical="center" wrapText="1"/>
    </xf>
    <xf numFmtId="164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 vertical="center" wrapText="1"/>
    </xf>
    <xf numFmtId="4" fontId="2" fillId="0" borderId="0" xfId="0" applyNumberFormat="1" applyFont="1"/>
    <xf numFmtId="164" fontId="2" fillId="0" borderId="0" xfId="0" applyNumberFormat="1" applyFont="1"/>
    <xf numFmtId="164" fontId="2" fillId="2" borderId="0" xfId="0" applyNumberFormat="1" applyFont="1" applyFill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164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right" wrapText="1"/>
    </xf>
    <xf numFmtId="0" fontId="2" fillId="0" borderId="0" xfId="0" applyFont="1"/>
    <xf numFmtId="165" fontId="2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right" vertical="center"/>
    </xf>
    <xf numFmtId="2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 vertical="center"/>
    </xf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  <xf numFmtId="14" fontId="1" fillId="0" borderId="3" xfId="0" applyNumberFormat="1" applyFont="1" applyBorder="1"/>
    <xf numFmtId="14" fontId="1" fillId="0" borderId="4" xfId="0" applyNumberFormat="1" applyFont="1" applyBorder="1"/>
    <xf numFmtId="14" fontId="1" fillId="2" borderId="4" xfId="0" applyNumberFormat="1" applyFont="1" applyFill="1" applyBorder="1"/>
    <xf numFmtId="0" fontId="1" fillId="0" borderId="5" xfId="0" applyFont="1" applyBorder="1"/>
    <xf numFmtId="166" fontId="1" fillId="0" borderId="0" xfId="0" applyNumberFormat="1" applyFont="1"/>
    <xf numFmtId="0" fontId="3" fillId="0" borderId="6" xfId="0" applyFont="1" applyBorder="1" applyAlignment="1">
      <alignment wrapText="1"/>
    </xf>
    <xf numFmtId="0" fontId="3" fillId="0" borderId="6" xfId="0" applyFont="1" applyBorder="1"/>
    <xf numFmtId="0" fontId="3" fillId="0" borderId="7" xfId="0" applyFont="1" applyBorder="1"/>
    <xf numFmtId="4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3FEEC-38C0-974A-96F5-EE4112F8EFA3}">
  <dimension ref="A1:EO220"/>
  <sheetViews>
    <sheetView tabSelected="1" topLeftCell="F1" zoomScale="110" zoomScaleNormal="110" workbookViewId="0">
      <selection activeCell="R13" sqref="R13"/>
    </sheetView>
  </sheetViews>
  <sheetFormatPr baseColWidth="10" defaultRowHeight="16" x14ac:dyDescent="0.2"/>
  <cols>
    <col min="1" max="2" width="10.83203125" style="1"/>
    <col min="3" max="3" width="18.83203125" style="1" customWidth="1"/>
    <col min="4" max="4" width="25.6640625" style="1" customWidth="1"/>
    <col min="5" max="5" width="14.1640625" style="1" customWidth="1"/>
    <col min="6" max="6" width="15.5" style="1" customWidth="1"/>
    <col min="7" max="7" width="18.83203125" style="1" customWidth="1"/>
    <col min="8" max="8" width="7.5" style="1" customWidth="1"/>
    <col min="9" max="11" width="10.83203125" style="1"/>
    <col min="12" max="12" width="15.5" style="1" customWidth="1"/>
    <col min="13" max="16384" width="10.83203125" style="1"/>
  </cols>
  <sheetData>
    <row r="1" spans="1:15" s="16" customFormat="1" ht="56" customHeight="1" x14ac:dyDescent="0.2">
      <c r="A1" s="17"/>
      <c r="B1" s="18" t="s">
        <v>0</v>
      </c>
      <c r="C1" s="18" t="s">
        <v>1</v>
      </c>
      <c r="D1" s="19" t="s">
        <v>2</v>
      </c>
      <c r="E1" s="18" t="s">
        <v>3</v>
      </c>
      <c r="F1" s="19" t="s">
        <v>4</v>
      </c>
      <c r="G1" s="19" t="s">
        <v>6</v>
      </c>
      <c r="H1" s="19" t="s">
        <v>5</v>
      </c>
      <c r="I1" s="19" t="s">
        <v>7</v>
      </c>
      <c r="J1" s="19" t="s">
        <v>8</v>
      </c>
      <c r="K1" s="19" t="s">
        <v>9</v>
      </c>
      <c r="L1" s="25" t="s">
        <v>10</v>
      </c>
      <c r="M1" s="25" t="s">
        <v>11</v>
      </c>
      <c r="N1" s="26" t="s">
        <v>12</v>
      </c>
      <c r="O1" s="27" t="s">
        <v>229</v>
      </c>
    </row>
    <row r="2" spans="1:15" x14ac:dyDescent="0.2">
      <c r="A2" s="20" t="s">
        <v>13</v>
      </c>
      <c r="B2" s="2">
        <v>90.4</v>
      </c>
      <c r="C2" s="1">
        <f t="shared" ref="C2" si="0">C3 / B3 * 100</f>
        <v>107.54882534077946</v>
      </c>
      <c r="D2" s="2">
        <v>75.099999999999994</v>
      </c>
      <c r="E2" s="1">
        <f t="shared" ref="E2:E65" si="1">E3/D3*100</f>
        <v>79.104174086980422</v>
      </c>
      <c r="F2" s="3">
        <v>84</v>
      </c>
      <c r="G2" s="1">
        <f t="shared" ref="G2:G65" si="2">G3/F3*100</f>
        <v>88.960427001929929</v>
      </c>
      <c r="H2" s="2">
        <v>102.3</v>
      </c>
      <c r="I2" s="1">
        <f t="shared" ref="I2:I65" si="3">I3/H3*100</f>
        <v>63.211026043328147</v>
      </c>
      <c r="J2" s="4">
        <v>24.48</v>
      </c>
      <c r="K2" s="5">
        <v>1574.33</v>
      </c>
      <c r="L2" s="24">
        <v>10</v>
      </c>
      <c r="M2" s="1">
        <v>92.18</v>
      </c>
      <c r="N2" s="1">
        <v>26.2</v>
      </c>
      <c r="O2" s="28">
        <v>0.32056990265846252</v>
      </c>
    </row>
    <row r="3" spans="1:15" x14ac:dyDescent="0.2">
      <c r="A3" s="21" t="s">
        <v>14</v>
      </c>
      <c r="B3" s="2">
        <v>100.1</v>
      </c>
      <c r="C3" s="1">
        <f t="shared" ref="C3" si="4">C4/B4 * 100</f>
        <v>107.65637416612022</v>
      </c>
      <c r="D3" s="2">
        <v>101.1</v>
      </c>
      <c r="E3" s="1">
        <f t="shared" si="1"/>
        <v>79.974320001937201</v>
      </c>
      <c r="F3" s="6">
        <v>101.7</v>
      </c>
      <c r="G3" s="1">
        <f t="shared" si="2"/>
        <v>90.472754260962745</v>
      </c>
      <c r="H3" s="2">
        <v>101.2</v>
      </c>
      <c r="I3" s="1">
        <f t="shared" si="3"/>
        <v>63.969558355848079</v>
      </c>
      <c r="J3" s="4">
        <v>24.12</v>
      </c>
      <c r="K3" s="5">
        <v>1660.42</v>
      </c>
      <c r="L3" s="24">
        <v>10.2241</v>
      </c>
      <c r="M3" s="1">
        <v>94.99</v>
      </c>
      <c r="N3" s="1">
        <v>26.54</v>
      </c>
      <c r="O3" s="28">
        <v>0.39978194236755371</v>
      </c>
    </row>
    <row r="4" spans="1:15" x14ac:dyDescent="0.2">
      <c r="A4" s="21" t="s">
        <v>15</v>
      </c>
      <c r="B4" s="2">
        <v>106.4</v>
      </c>
      <c r="C4" s="1">
        <f t="shared" ref="C4" si="5">C5 / B5 * 100</f>
        <v>114.54638211275193</v>
      </c>
      <c r="D4" s="2">
        <v>107.4</v>
      </c>
      <c r="E4" s="1">
        <f t="shared" si="1"/>
        <v>85.892419682080558</v>
      </c>
      <c r="F4" s="2">
        <v>104.6</v>
      </c>
      <c r="G4" s="1">
        <f t="shared" si="2"/>
        <v>94.634500956967031</v>
      </c>
      <c r="H4" s="2">
        <v>101.2</v>
      </c>
      <c r="I4" s="1">
        <f t="shared" si="3"/>
        <v>64.737193056118258</v>
      </c>
      <c r="J4" s="4">
        <v>23.52</v>
      </c>
      <c r="K4" s="5">
        <v>1628.43</v>
      </c>
      <c r="L4" s="24">
        <v>10.25</v>
      </c>
      <c r="M4" s="1">
        <v>103.64</v>
      </c>
      <c r="N4" s="1">
        <v>25.61</v>
      </c>
      <c r="O4" s="28">
        <v>0.30909246206283569</v>
      </c>
    </row>
    <row r="5" spans="1:15" x14ac:dyDescent="0.2">
      <c r="A5" s="21" t="s">
        <v>16</v>
      </c>
      <c r="B5" s="2">
        <v>96.7</v>
      </c>
      <c r="C5" s="1">
        <f t="shared" ref="C5" si="6">C6/B6 * 100</f>
        <v>110.76635150303112</v>
      </c>
      <c r="D5" s="2">
        <v>101.1</v>
      </c>
      <c r="E5" s="1">
        <f t="shared" si="1"/>
        <v>86.837236298583434</v>
      </c>
      <c r="F5" s="2">
        <v>102.1</v>
      </c>
      <c r="G5" s="1">
        <f t="shared" si="2"/>
        <v>96.621825477063325</v>
      </c>
      <c r="H5" s="2">
        <v>101.4</v>
      </c>
      <c r="I5" s="1">
        <f t="shared" si="3"/>
        <v>65.643513758903921</v>
      </c>
      <c r="J5" s="4">
        <v>23.65</v>
      </c>
      <c r="K5" s="5">
        <v>1667.35</v>
      </c>
      <c r="L5" s="24">
        <v>10.2667</v>
      </c>
      <c r="M5" s="1">
        <v>109.07</v>
      </c>
      <c r="N5" s="1">
        <v>20.79</v>
      </c>
      <c r="O5" s="28">
        <v>0.26975992321968079</v>
      </c>
    </row>
    <row r="6" spans="1:15" x14ac:dyDescent="0.2">
      <c r="A6" s="21" t="s">
        <v>17</v>
      </c>
      <c r="B6" s="2">
        <v>99.5</v>
      </c>
      <c r="C6" s="1">
        <f t="shared" ref="C6" si="7">C7 / B7 * 100</f>
        <v>110.21251974551596</v>
      </c>
      <c r="D6" s="2">
        <v>102.2</v>
      </c>
      <c r="E6" s="1">
        <f t="shared" si="1"/>
        <v>88.747655497152266</v>
      </c>
      <c r="F6" s="2">
        <v>101.3</v>
      </c>
      <c r="G6" s="1">
        <f t="shared" si="2"/>
        <v>97.877909208265152</v>
      </c>
      <c r="H6" s="2">
        <v>101.4</v>
      </c>
      <c r="I6" s="1">
        <f t="shared" si="3"/>
        <v>66.562522951528578</v>
      </c>
      <c r="J6" s="4">
        <v>23.74</v>
      </c>
      <c r="K6" s="5">
        <v>1925.24</v>
      </c>
      <c r="L6" s="24">
        <v>10.5</v>
      </c>
      <c r="M6" s="1">
        <v>122.8</v>
      </c>
      <c r="N6" s="1">
        <v>17.829999999999998</v>
      </c>
      <c r="O6" s="28">
        <v>0.37439829111099243</v>
      </c>
    </row>
    <row r="7" spans="1:15" x14ac:dyDescent="0.2">
      <c r="A7" s="21" t="s">
        <v>18</v>
      </c>
      <c r="B7" s="2">
        <v>99.2</v>
      </c>
      <c r="C7" s="1">
        <f t="shared" ref="C7" si="8">C8/B8 * 100</f>
        <v>109.33081958755184</v>
      </c>
      <c r="D7" s="2">
        <v>101.2</v>
      </c>
      <c r="E7" s="1">
        <f t="shared" si="1"/>
        <v>89.812627363118096</v>
      </c>
      <c r="F7" s="2">
        <v>104.7</v>
      </c>
      <c r="G7" s="1">
        <f t="shared" si="2"/>
        <v>102.47817094105362</v>
      </c>
      <c r="H7" s="2">
        <v>101</v>
      </c>
      <c r="I7" s="1">
        <f t="shared" si="3"/>
        <v>67.228148181043863</v>
      </c>
      <c r="J7" s="4">
        <v>23.46</v>
      </c>
      <c r="K7" s="5">
        <v>1753.67</v>
      </c>
      <c r="L7" s="24">
        <v>10.675000000000001</v>
      </c>
      <c r="M7" s="1">
        <v>132.32</v>
      </c>
      <c r="N7" s="1">
        <v>23.95</v>
      </c>
      <c r="O7" s="28">
        <v>0.31211575865745544</v>
      </c>
    </row>
    <row r="8" spans="1:15" x14ac:dyDescent="0.2">
      <c r="A8" s="21" t="s">
        <v>19</v>
      </c>
      <c r="B8" s="2">
        <v>102.1</v>
      </c>
      <c r="C8" s="1">
        <f t="shared" ref="C8" si="9">C9 / B9 * 100</f>
        <v>111.62676679889042</v>
      </c>
      <c r="D8" s="2">
        <v>103.8</v>
      </c>
      <c r="E8" s="1">
        <f t="shared" si="1"/>
        <v>93.225507202916575</v>
      </c>
      <c r="F8" s="2">
        <v>102.8</v>
      </c>
      <c r="G8" s="1">
        <f t="shared" si="2"/>
        <v>105.34755972740312</v>
      </c>
      <c r="H8" s="2">
        <v>100.5</v>
      </c>
      <c r="I8" s="1">
        <f t="shared" si="3"/>
        <v>67.564288921949085</v>
      </c>
      <c r="J8" s="4">
        <v>23.45</v>
      </c>
      <c r="K8" s="5">
        <v>1495.33</v>
      </c>
      <c r="L8" s="24">
        <v>10.895200000000001</v>
      </c>
      <c r="M8" s="1">
        <v>132.72</v>
      </c>
      <c r="N8" s="1">
        <v>22.94</v>
      </c>
      <c r="O8" s="28">
        <v>0.62923520803451538</v>
      </c>
    </row>
    <row r="9" spans="1:15" x14ac:dyDescent="0.2">
      <c r="A9" s="21" t="s">
        <v>20</v>
      </c>
      <c r="B9" s="2">
        <v>100.1</v>
      </c>
      <c r="C9" s="1">
        <f t="shared" ref="C9" si="10">C10/B10 * 100</f>
        <v>111.73839356568929</v>
      </c>
      <c r="D9" s="2">
        <v>103.4</v>
      </c>
      <c r="E9" s="1">
        <f t="shared" si="1"/>
        <v>96.395174447815748</v>
      </c>
      <c r="F9" s="2">
        <v>96.1</v>
      </c>
      <c r="G9" s="1">
        <f>G10/F10*100</f>
        <v>101.23900489803439</v>
      </c>
      <c r="H9" s="2">
        <v>100.4</v>
      </c>
      <c r="I9" s="1">
        <f t="shared" si="3"/>
        <v>67.834546077636887</v>
      </c>
      <c r="J9" s="4">
        <v>24.58</v>
      </c>
      <c r="K9" s="5">
        <v>1348.92</v>
      </c>
      <c r="L9" s="24">
        <v>11</v>
      </c>
      <c r="M9" s="1">
        <v>113.24</v>
      </c>
      <c r="N9" s="1">
        <v>20.65</v>
      </c>
      <c r="O9" s="28">
        <v>0.97096109390258789</v>
      </c>
    </row>
    <row r="10" spans="1:15" x14ac:dyDescent="0.2">
      <c r="A10" s="21" t="s">
        <v>21</v>
      </c>
      <c r="B10" s="2">
        <v>99.7</v>
      </c>
      <c r="C10" s="1">
        <f t="shared" ref="C10" si="11">C11 / B11 * 100</f>
        <v>111.40317838499223</v>
      </c>
      <c r="D10" s="2">
        <v>100.4</v>
      </c>
      <c r="E10" s="1">
        <f t="shared" si="1"/>
        <v>96.780755145607017</v>
      </c>
      <c r="F10" s="2">
        <v>100.7</v>
      </c>
      <c r="G10" s="1">
        <f t="shared" si="2"/>
        <v>101.94767793232064</v>
      </c>
      <c r="H10" s="2">
        <v>100.8</v>
      </c>
      <c r="I10" s="1">
        <f t="shared" si="3"/>
        <v>68.377222446257974</v>
      </c>
      <c r="J10" s="4">
        <v>25.25</v>
      </c>
      <c r="K10" s="5">
        <v>1027.6600000000001</v>
      </c>
      <c r="L10" s="24">
        <v>11</v>
      </c>
      <c r="M10" s="1">
        <v>97.23</v>
      </c>
      <c r="N10" s="1">
        <v>39.39</v>
      </c>
      <c r="O10" s="28">
        <v>0.83894163370132446</v>
      </c>
    </row>
    <row r="11" spans="1:15" x14ac:dyDescent="0.2">
      <c r="A11" s="21" t="s">
        <v>22</v>
      </c>
      <c r="B11" s="2">
        <v>100.7</v>
      </c>
      <c r="C11" s="1">
        <f t="shared" ref="C11" si="12">C12/B12 * 100</f>
        <v>112.18300063368719</v>
      </c>
      <c r="D11" s="2">
        <v>101.6</v>
      </c>
      <c r="E11" s="1">
        <f t="shared" si="1"/>
        <v>98.329247227936733</v>
      </c>
      <c r="F11" s="2">
        <v>100.8</v>
      </c>
      <c r="G11" s="1">
        <f t="shared" si="2"/>
        <v>102.76325935577921</v>
      </c>
      <c r="H11" s="2">
        <v>100.9</v>
      </c>
      <c r="I11" s="1">
        <f t="shared" si="3"/>
        <v>68.992617448274302</v>
      </c>
      <c r="J11" s="4">
        <v>26.54</v>
      </c>
      <c r="K11" s="5">
        <v>731.96</v>
      </c>
      <c r="L11" s="24">
        <v>11</v>
      </c>
      <c r="M11" s="1">
        <v>71.58</v>
      </c>
      <c r="N11" s="1">
        <v>59.89</v>
      </c>
      <c r="O11" s="28">
        <v>0.47016274929046631</v>
      </c>
    </row>
    <row r="12" spans="1:15" x14ac:dyDescent="0.2">
      <c r="A12" s="21" t="s">
        <v>23</v>
      </c>
      <c r="B12" s="2">
        <v>90.1</v>
      </c>
      <c r="C12" s="1">
        <f t="shared" ref="C12" si="13">C13 / B13 * 100</f>
        <v>101.07688357095215</v>
      </c>
      <c r="D12" s="2">
        <v>96.6</v>
      </c>
      <c r="E12" s="1">
        <f t="shared" si="1"/>
        <v>94.986052822186878</v>
      </c>
      <c r="F12" s="2">
        <v>97.4</v>
      </c>
      <c r="G12" s="1">
        <f t="shared" si="2"/>
        <v>100.09141461252895</v>
      </c>
      <c r="H12" s="2">
        <v>100.8</v>
      </c>
      <c r="I12" s="1">
        <f t="shared" si="3"/>
        <v>69.544558387860505</v>
      </c>
      <c r="J12" s="4">
        <v>27.61</v>
      </c>
      <c r="K12" s="5">
        <v>611.32000000000005</v>
      </c>
      <c r="L12" s="24">
        <v>11.6333</v>
      </c>
      <c r="M12" s="1">
        <v>52.45</v>
      </c>
      <c r="N12" s="1">
        <v>55.28</v>
      </c>
      <c r="O12" s="28">
        <v>0.52123552560806274</v>
      </c>
    </row>
    <row r="13" spans="1:15" x14ac:dyDescent="0.2">
      <c r="A13" s="21" t="s">
        <v>24</v>
      </c>
      <c r="B13" s="2">
        <v>102.7</v>
      </c>
      <c r="C13" s="1">
        <f t="shared" ref="C13" si="14">C14/B14 * 100</f>
        <v>103.80595942736785</v>
      </c>
      <c r="D13" s="2">
        <v>116.7</v>
      </c>
      <c r="E13" s="1">
        <f t="shared" si="1"/>
        <v>110.84872364349208</v>
      </c>
      <c r="F13" s="2">
        <v>103.7</v>
      </c>
      <c r="G13" s="1">
        <f t="shared" si="2"/>
        <v>103.79479695319252</v>
      </c>
      <c r="H13" s="2">
        <v>100.7</v>
      </c>
      <c r="I13" s="1">
        <f t="shared" si="3"/>
        <v>70.031370296575531</v>
      </c>
      <c r="J13" s="4">
        <v>29.38</v>
      </c>
      <c r="K13" s="5">
        <v>619.53</v>
      </c>
      <c r="L13" s="24">
        <v>13</v>
      </c>
      <c r="M13" s="1">
        <v>39.950000000000003</v>
      </c>
      <c r="N13" s="1">
        <v>40</v>
      </c>
      <c r="O13" s="28">
        <v>0.40251833200454712</v>
      </c>
    </row>
    <row r="14" spans="1:15" x14ac:dyDescent="0.2">
      <c r="A14" s="21" t="s">
        <v>25</v>
      </c>
      <c r="B14" s="2">
        <v>84.7</v>
      </c>
      <c r="C14" s="1">
        <f t="shared" ref="C14" si="15">C15 / B15 * 100</f>
        <v>87.923647634980583</v>
      </c>
      <c r="D14" s="2">
        <v>74.599999999999994</v>
      </c>
      <c r="E14" s="1">
        <f t="shared" si="1"/>
        <v>82.693147838045078</v>
      </c>
      <c r="F14" s="3">
        <v>85</v>
      </c>
      <c r="G14" s="1">
        <f t="shared" si="2"/>
        <v>88.225577410213631</v>
      </c>
      <c r="H14" s="2">
        <v>102.4</v>
      </c>
      <c r="I14" s="1">
        <f t="shared" si="3"/>
        <v>71.71212318369335</v>
      </c>
      <c r="J14" s="4">
        <v>35.409999999999997</v>
      </c>
      <c r="K14" s="5">
        <v>624.9</v>
      </c>
      <c r="L14" s="24">
        <v>13</v>
      </c>
      <c r="M14" s="1">
        <v>43.44</v>
      </c>
      <c r="N14" s="1">
        <v>44.84</v>
      </c>
      <c r="O14" s="28">
        <v>0.25143316388130188</v>
      </c>
    </row>
    <row r="15" spans="1:15" x14ac:dyDescent="0.2">
      <c r="A15" s="21" t="s">
        <v>26</v>
      </c>
      <c r="B15" s="2">
        <v>101</v>
      </c>
      <c r="C15" s="1">
        <f t="shared" ref="C15" si="16">C16/B16 * 100</f>
        <v>88.802884111330386</v>
      </c>
      <c r="D15" s="2">
        <v>95.6</v>
      </c>
      <c r="E15" s="1">
        <f t="shared" si="1"/>
        <v>79.054649333171085</v>
      </c>
      <c r="F15" s="6">
        <v>100.2</v>
      </c>
      <c r="G15" s="1">
        <f t="shared" si="2"/>
        <v>88.402028565034058</v>
      </c>
      <c r="H15" s="2">
        <v>101.7</v>
      </c>
      <c r="I15" s="1">
        <f t="shared" si="3"/>
        <v>72.931229277816144</v>
      </c>
      <c r="J15" s="4">
        <v>35.72</v>
      </c>
      <c r="K15" s="5">
        <v>666.05</v>
      </c>
      <c r="L15" s="24">
        <v>13</v>
      </c>
      <c r="M15" s="1">
        <v>43.32</v>
      </c>
      <c r="N15" s="1">
        <v>46.35</v>
      </c>
      <c r="O15" s="28">
        <v>0.43117386102676392</v>
      </c>
    </row>
    <row r="16" spans="1:15" x14ac:dyDescent="0.2">
      <c r="A16" s="21" t="s">
        <v>27</v>
      </c>
      <c r="B16" s="2">
        <v>110.5</v>
      </c>
      <c r="C16" s="1">
        <f t="shared" ref="C16" si="17">C17 / B17 * 100</f>
        <v>98.127186943020078</v>
      </c>
      <c r="D16" s="2">
        <v>105.9</v>
      </c>
      <c r="E16" s="1">
        <f t="shared" si="1"/>
        <v>83.718873643828189</v>
      </c>
      <c r="F16" s="2">
        <v>104.9</v>
      </c>
      <c r="G16" s="1">
        <f t="shared" si="2"/>
        <v>92.733727964720742</v>
      </c>
      <c r="H16" s="2">
        <v>101.3</v>
      </c>
      <c r="I16" s="1">
        <f t="shared" si="3"/>
        <v>73.879335258427759</v>
      </c>
      <c r="J16" s="4">
        <v>34.01</v>
      </c>
      <c r="K16" s="5">
        <v>772.93</v>
      </c>
      <c r="L16" s="24">
        <v>13</v>
      </c>
      <c r="M16" s="1">
        <v>46.54</v>
      </c>
      <c r="N16" s="1">
        <v>44.14</v>
      </c>
      <c r="O16" s="28">
        <v>0.34784337878227234</v>
      </c>
    </row>
    <row r="17" spans="1:15" x14ac:dyDescent="0.2">
      <c r="A17" s="21" t="s">
        <v>28</v>
      </c>
      <c r="B17" s="2">
        <v>95.9</v>
      </c>
      <c r="C17" s="1">
        <f t="shared" ref="C17" si="18">C18/B18 * 100</f>
        <v>94.103972278356267</v>
      </c>
      <c r="D17" s="2">
        <v>98.9</v>
      </c>
      <c r="E17" s="1">
        <f t="shared" si="1"/>
        <v>82.797966033746079</v>
      </c>
      <c r="F17" s="2">
        <v>99.5</v>
      </c>
      <c r="G17" s="1">
        <f t="shared" si="2"/>
        <v>92.270059324897133</v>
      </c>
      <c r="H17" s="2">
        <v>100.7</v>
      </c>
      <c r="I17" s="1">
        <f t="shared" si="3"/>
        <v>74.39649060523675</v>
      </c>
      <c r="J17" s="4">
        <v>33.25</v>
      </c>
      <c r="K17" s="5">
        <v>920.35</v>
      </c>
      <c r="L17" s="24">
        <v>12.8833</v>
      </c>
      <c r="M17" s="1">
        <v>50.18</v>
      </c>
      <c r="N17" s="1">
        <v>36.5</v>
      </c>
      <c r="O17" s="28">
        <v>0.59227919578552246</v>
      </c>
    </row>
    <row r="18" spans="1:15" x14ac:dyDescent="0.2">
      <c r="A18" s="21" t="s">
        <v>29</v>
      </c>
      <c r="B18" s="2">
        <v>98.7</v>
      </c>
      <c r="C18" s="1">
        <f t="shared" ref="C18" si="19">C19 / B19 * 100</f>
        <v>92.880620638737639</v>
      </c>
      <c r="D18" s="2">
        <v>101.4</v>
      </c>
      <c r="E18" s="1">
        <f t="shared" si="1"/>
        <v>83.957137558218534</v>
      </c>
      <c r="F18" s="2">
        <v>99.8</v>
      </c>
      <c r="G18" s="1">
        <f t="shared" si="2"/>
        <v>92.085519206247341</v>
      </c>
      <c r="H18" s="2">
        <v>100.6</v>
      </c>
      <c r="I18" s="1">
        <f t="shared" si="3"/>
        <v>74.842869548868165</v>
      </c>
      <c r="J18" s="4">
        <v>30.98</v>
      </c>
      <c r="K18" s="5">
        <v>1123.3800000000001</v>
      </c>
      <c r="L18" s="24">
        <v>12.2097</v>
      </c>
      <c r="M18" s="1">
        <v>57.3</v>
      </c>
      <c r="N18" s="1">
        <v>28.92</v>
      </c>
      <c r="O18" s="28">
        <v>0.45351472496986389</v>
      </c>
    </row>
    <row r="19" spans="1:15" x14ac:dyDescent="0.2">
      <c r="A19" s="21" t="s">
        <v>30</v>
      </c>
      <c r="B19" s="2">
        <v>102.4</v>
      </c>
      <c r="C19" s="1">
        <f t="shared" ref="C19" si="20">C20/B20 * 100</f>
        <v>95.109755534067347</v>
      </c>
      <c r="D19" s="2">
        <v>100.3</v>
      </c>
      <c r="E19" s="1">
        <f t="shared" si="1"/>
        <v>84.20900897089318</v>
      </c>
      <c r="F19" s="2">
        <v>105</v>
      </c>
      <c r="G19" s="1">
        <f t="shared" si="2"/>
        <v>96.689795166559705</v>
      </c>
      <c r="H19" s="2">
        <v>100.6</v>
      </c>
      <c r="I19" s="1">
        <f t="shared" si="3"/>
        <v>75.291926766161367</v>
      </c>
      <c r="J19" s="4">
        <v>31.29</v>
      </c>
      <c r="K19" s="5">
        <v>971.55</v>
      </c>
      <c r="L19" s="24">
        <v>11.566700000000001</v>
      </c>
      <c r="M19" s="1">
        <v>68.61</v>
      </c>
      <c r="N19" s="1">
        <v>26.35</v>
      </c>
      <c r="O19" s="28">
        <v>0.52602124214172363</v>
      </c>
    </row>
    <row r="20" spans="1:15" x14ac:dyDescent="0.2">
      <c r="A20" s="21" t="s">
        <v>31</v>
      </c>
      <c r="B20" s="2">
        <v>103.3</v>
      </c>
      <c r="C20" s="1">
        <f t="shared" ref="C20" si="21">C21 / B21 * 100</f>
        <v>98.248377466691565</v>
      </c>
      <c r="D20" s="2">
        <v>102.1</v>
      </c>
      <c r="E20" s="1">
        <f t="shared" si="1"/>
        <v>85.977398159281933</v>
      </c>
      <c r="F20" s="2">
        <v>100.4</v>
      </c>
      <c r="G20" s="1">
        <f t="shared" si="2"/>
        <v>97.076554347225951</v>
      </c>
      <c r="H20" s="2">
        <v>100.6</v>
      </c>
      <c r="I20" s="1">
        <f t="shared" si="3"/>
        <v>75.743678326758328</v>
      </c>
      <c r="J20" s="4">
        <v>31.76</v>
      </c>
      <c r="K20" s="5">
        <v>1053.3</v>
      </c>
      <c r="L20" s="24">
        <v>11.1935</v>
      </c>
      <c r="M20" s="1">
        <v>64.44</v>
      </c>
      <c r="N20" s="1">
        <v>25.92</v>
      </c>
      <c r="O20" s="28">
        <v>0.52962595224380493</v>
      </c>
    </row>
    <row r="21" spans="1:15" x14ac:dyDescent="0.2">
      <c r="A21" s="21" t="s">
        <v>32</v>
      </c>
      <c r="B21" s="2">
        <v>98.9</v>
      </c>
      <c r="C21" s="1">
        <f t="shared" ref="C21" si="22">C22/B22 * 100</f>
        <v>97.167645314557959</v>
      </c>
      <c r="D21" s="2">
        <v>101.6</v>
      </c>
      <c r="E21" s="1">
        <f t="shared" si="1"/>
        <v>87.353036529830433</v>
      </c>
      <c r="F21" s="2">
        <v>97.3</v>
      </c>
      <c r="G21" s="1">
        <f t="shared" si="2"/>
        <v>94.455487379850851</v>
      </c>
      <c r="H21" s="2">
        <v>100</v>
      </c>
      <c r="I21" s="1">
        <f t="shared" si="3"/>
        <v>75.743678326758328</v>
      </c>
      <c r="J21" s="4">
        <v>31.57</v>
      </c>
      <c r="K21" s="5">
        <v>1091.98</v>
      </c>
      <c r="L21" s="24">
        <v>10.8226</v>
      </c>
      <c r="M21" s="1">
        <v>72.510000000000005</v>
      </c>
      <c r="N21" s="1">
        <v>26.01</v>
      </c>
      <c r="O21" s="28">
        <v>0.44588115811347961</v>
      </c>
    </row>
    <row r="22" spans="1:15" x14ac:dyDescent="0.2">
      <c r="A22" s="21" t="s">
        <v>33</v>
      </c>
      <c r="B22" s="2">
        <v>102.4</v>
      </c>
      <c r="C22" s="1">
        <f t="shared" ref="C22" si="23">C23 / B23 * 100</f>
        <v>99.499668802107351</v>
      </c>
      <c r="D22" s="2">
        <v>99.8</v>
      </c>
      <c r="E22" s="1">
        <f t="shared" si="1"/>
        <v>87.178330456770766</v>
      </c>
      <c r="F22" s="2">
        <v>100.3</v>
      </c>
      <c r="G22" s="1">
        <f t="shared" si="2"/>
        <v>94.738853841990405</v>
      </c>
      <c r="H22" s="2">
        <v>100</v>
      </c>
      <c r="I22" s="1">
        <f t="shared" si="3"/>
        <v>75.743678326758328</v>
      </c>
      <c r="J22" s="4">
        <v>30.09</v>
      </c>
      <c r="K22" s="5">
        <v>1197.2</v>
      </c>
      <c r="L22" s="24">
        <v>10.6</v>
      </c>
      <c r="M22" s="1">
        <v>67.650000000000006</v>
      </c>
      <c r="N22" s="1">
        <v>25.61</v>
      </c>
      <c r="O22" s="28">
        <v>0.79026055335998535</v>
      </c>
    </row>
    <row r="23" spans="1:15" x14ac:dyDescent="0.2">
      <c r="A23" s="21" t="s">
        <v>34</v>
      </c>
      <c r="B23" s="2">
        <v>104.3</v>
      </c>
      <c r="C23" s="1">
        <f t="shared" ref="C23" si="24">C24/B24 * 100</f>
        <v>103.77815456059795</v>
      </c>
      <c r="D23" s="2">
        <v>103.3</v>
      </c>
      <c r="E23" s="1">
        <f t="shared" si="1"/>
        <v>90.055215361844205</v>
      </c>
      <c r="F23" s="2">
        <v>100.5</v>
      </c>
      <c r="G23" s="1">
        <f t="shared" si="2"/>
        <v>95.212548111200363</v>
      </c>
      <c r="H23" s="2">
        <v>100</v>
      </c>
      <c r="I23" s="1">
        <f t="shared" si="3"/>
        <v>75.743678326758328</v>
      </c>
      <c r="J23" s="4">
        <v>29.05</v>
      </c>
      <c r="K23" s="5">
        <v>1237.18</v>
      </c>
      <c r="L23" s="24">
        <v>9.9677000000000007</v>
      </c>
      <c r="M23" s="1">
        <v>72.77</v>
      </c>
      <c r="N23" s="1">
        <v>30.69</v>
      </c>
      <c r="O23" s="28">
        <v>0.73597055673599243</v>
      </c>
    </row>
    <row r="24" spans="1:15" x14ac:dyDescent="0.2">
      <c r="A24" s="21" t="s">
        <v>35</v>
      </c>
      <c r="B24" s="2">
        <v>100.8</v>
      </c>
      <c r="C24" s="1">
        <f t="shared" ref="C24" si="25">C25 / B25 * 100</f>
        <v>104.60837979708273</v>
      </c>
      <c r="D24" s="2">
        <v>99</v>
      </c>
      <c r="E24" s="1">
        <f t="shared" si="1"/>
        <v>89.15466320822577</v>
      </c>
      <c r="F24" s="2">
        <v>99.8</v>
      </c>
      <c r="G24" s="1">
        <f t="shared" si="2"/>
        <v>95.02212301497795</v>
      </c>
      <c r="H24" s="2">
        <v>100.3</v>
      </c>
      <c r="I24" s="1">
        <f t="shared" si="3"/>
        <v>75.970909361738592</v>
      </c>
      <c r="J24" s="4">
        <v>29.82</v>
      </c>
      <c r="K24" s="5">
        <v>1284.95</v>
      </c>
      <c r="L24" s="24">
        <v>9.4</v>
      </c>
      <c r="M24" s="1">
        <v>76.66</v>
      </c>
      <c r="N24" s="1">
        <v>24.51</v>
      </c>
      <c r="O24" s="28">
        <v>0.53751879930496216</v>
      </c>
    </row>
    <row r="25" spans="1:15" x14ac:dyDescent="0.2">
      <c r="A25" s="21" t="s">
        <v>36</v>
      </c>
      <c r="B25" s="2">
        <v>106.6</v>
      </c>
      <c r="C25" s="1">
        <f t="shared" ref="C25" si="26">C26/B26 * 100</f>
        <v>111.51253286369018</v>
      </c>
      <c r="D25" s="2">
        <v>120.3</v>
      </c>
      <c r="E25" s="1">
        <f t="shared" si="1"/>
        <v>107.25305983949561</v>
      </c>
      <c r="F25" s="2">
        <v>107.6</v>
      </c>
      <c r="G25" s="1">
        <f t="shared" si="2"/>
        <v>102.24380436411626</v>
      </c>
      <c r="H25" s="2">
        <v>100.4</v>
      </c>
      <c r="I25" s="1">
        <f t="shared" si="3"/>
        <v>76.27479299918555</v>
      </c>
      <c r="J25" s="4">
        <v>30.24</v>
      </c>
      <c r="K25" s="5">
        <v>1370.01</v>
      </c>
      <c r="L25" s="24">
        <v>8.9677000000000007</v>
      </c>
      <c r="M25" s="1">
        <v>74.459999999999994</v>
      </c>
      <c r="N25" s="1">
        <v>21.68</v>
      </c>
      <c r="O25" s="28">
        <v>0.55652552843093872</v>
      </c>
    </row>
    <row r="26" spans="1:15" x14ac:dyDescent="0.2">
      <c r="A26" s="21" t="s">
        <v>37</v>
      </c>
      <c r="B26" s="2">
        <v>85.4</v>
      </c>
      <c r="C26" s="1">
        <f t="shared" ref="C26" si="27">C27 / B27 * 100</f>
        <v>95.231703065591418</v>
      </c>
      <c r="D26" s="2">
        <v>77.7</v>
      </c>
      <c r="E26" s="1">
        <f t="shared" si="1"/>
        <v>83.335627495288094</v>
      </c>
      <c r="F26" s="3">
        <v>84.5</v>
      </c>
      <c r="G26" s="1">
        <f t="shared" si="2"/>
        <v>86.396014687678246</v>
      </c>
      <c r="H26" s="2">
        <v>101.6</v>
      </c>
      <c r="I26" s="1">
        <f t="shared" si="3"/>
        <v>77.495189687172513</v>
      </c>
      <c r="J26" s="4">
        <v>30.43</v>
      </c>
      <c r="K26" s="5">
        <v>1419.42</v>
      </c>
      <c r="L26" s="24">
        <v>8.75</v>
      </c>
      <c r="M26" s="1">
        <v>76.17</v>
      </c>
      <c r="N26" s="1">
        <v>24.62</v>
      </c>
      <c r="O26" s="28">
        <v>0.40261152386665344</v>
      </c>
    </row>
    <row r="27" spans="1:15" x14ac:dyDescent="0.2">
      <c r="A27" s="21" t="s">
        <v>38</v>
      </c>
      <c r="B27" s="2">
        <v>100</v>
      </c>
      <c r="C27" s="1">
        <f t="shared" ref="C27" si="28">C28/B28 * 100</f>
        <v>95.231703065591418</v>
      </c>
      <c r="D27" s="2">
        <v>96.8</v>
      </c>
      <c r="E27" s="1">
        <f t="shared" si="1"/>
        <v>80.668887415438874</v>
      </c>
      <c r="F27" s="6">
        <v>102.4</v>
      </c>
      <c r="G27" s="1">
        <f t="shared" si="2"/>
        <v>88.469519040182533</v>
      </c>
      <c r="H27" s="2">
        <v>100.9</v>
      </c>
      <c r="I27" s="1">
        <f t="shared" si="3"/>
        <v>78.19264639435707</v>
      </c>
      <c r="J27" s="4">
        <v>29.95</v>
      </c>
      <c r="K27" s="5">
        <v>1323.72</v>
      </c>
      <c r="L27" s="24">
        <v>8.7053999999999991</v>
      </c>
      <c r="M27" s="1">
        <v>73.75</v>
      </c>
      <c r="N27" s="1">
        <v>19.5</v>
      </c>
      <c r="O27" s="28">
        <v>0.50157469511032104</v>
      </c>
    </row>
    <row r="28" spans="1:15" x14ac:dyDescent="0.2">
      <c r="A28" s="21" t="s">
        <v>39</v>
      </c>
      <c r="B28" s="2">
        <v>112.6</v>
      </c>
      <c r="C28" s="1">
        <f t="shared" ref="C28" si="29">C29 / B29 * 100</f>
        <v>107.23089765185594</v>
      </c>
      <c r="D28" s="2">
        <v>108.2</v>
      </c>
      <c r="E28" s="1">
        <f t="shared" si="1"/>
        <v>87.283736183504857</v>
      </c>
      <c r="F28" s="2">
        <v>106.6</v>
      </c>
      <c r="G28" s="1">
        <f t="shared" si="2"/>
        <v>94.308507296834577</v>
      </c>
      <c r="H28" s="2">
        <v>100.6</v>
      </c>
      <c r="I28" s="1">
        <f t="shared" si="3"/>
        <v>78.661802272723207</v>
      </c>
      <c r="J28" s="4">
        <v>29.36</v>
      </c>
      <c r="K28" s="5">
        <v>1450.15</v>
      </c>
      <c r="L28" s="24">
        <v>8.4757999999999996</v>
      </c>
      <c r="M28" s="1">
        <v>78.83</v>
      </c>
      <c r="N28" s="1">
        <v>17.59</v>
      </c>
      <c r="O28" s="28">
        <v>0.64410477876663208</v>
      </c>
    </row>
    <row r="29" spans="1:15" x14ac:dyDescent="0.2">
      <c r="A29" s="21" t="s">
        <v>40</v>
      </c>
      <c r="B29" s="2">
        <v>94.2</v>
      </c>
      <c r="C29" s="1">
        <f t="shared" ref="C29" si="30">C30/B30 * 100</f>
        <v>101.01150558804829</v>
      </c>
      <c r="D29" s="2">
        <v>100.6</v>
      </c>
      <c r="E29" s="1">
        <f t="shared" si="1"/>
        <v>87.807438600605877</v>
      </c>
      <c r="F29" s="2">
        <v>99.2</v>
      </c>
      <c r="G29" s="1">
        <f t="shared" si="2"/>
        <v>93.554039238459907</v>
      </c>
      <c r="H29" s="2">
        <v>100.3</v>
      </c>
      <c r="I29" s="1">
        <f t="shared" si="3"/>
        <v>78.897787679541366</v>
      </c>
      <c r="J29" s="4">
        <v>29.29</v>
      </c>
      <c r="K29" s="5">
        <v>1436.04</v>
      </c>
      <c r="L29" s="24">
        <v>8.2416999999999998</v>
      </c>
      <c r="M29" s="1">
        <v>84.82</v>
      </c>
      <c r="N29" s="1">
        <v>22.05</v>
      </c>
      <c r="O29" s="28">
        <v>0.87160575389862061</v>
      </c>
    </row>
    <row r="30" spans="1:15" x14ac:dyDescent="0.2">
      <c r="A30" s="21" t="s">
        <v>41</v>
      </c>
      <c r="B30" s="2">
        <v>99.3</v>
      </c>
      <c r="C30" s="1">
        <f t="shared" ref="C30" si="31">C31 / B31 * 100</f>
        <v>100.30442504893196</v>
      </c>
      <c r="D30" s="2">
        <v>102.4</v>
      </c>
      <c r="E30" s="1">
        <f t="shared" si="1"/>
        <v>89.914817127020427</v>
      </c>
      <c r="F30" s="2">
        <v>100.2</v>
      </c>
      <c r="G30" s="1">
        <f t="shared" si="2"/>
        <v>93.741147316936832</v>
      </c>
      <c r="H30" s="2">
        <v>100.5</v>
      </c>
      <c r="I30" s="1">
        <f t="shared" si="3"/>
        <v>79.292276617939066</v>
      </c>
      <c r="J30" s="4">
        <v>30.5</v>
      </c>
      <c r="K30" s="5">
        <v>1332.62</v>
      </c>
      <c r="L30" s="24">
        <v>8</v>
      </c>
      <c r="M30" s="1">
        <v>75.95</v>
      </c>
      <c r="N30" s="1">
        <v>32.07</v>
      </c>
      <c r="O30" s="28">
        <v>0.64836829900741577</v>
      </c>
    </row>
    <row r="31" spans="1:15" x14ac:dyDescent="0.2">
      <c r="A31" s="21" t="s">
        <v>42</v>
      </c>
      <c r="B31" s="2">
        <v>101.6</v>
      </c>
      <c r="C31" s="1">
        <f t="shared" ref="C31" si="32">C32/B32 * 100</f>
        <v>101.90929584971487</v>
      </c>
      <c r="D31" s="2">
        <v>101.2</v>
      </c>
      <c r="E31" s="1">
        <f t="shared" si="1"/>
        <v>90.993794932544674</v>
      </c>
      <c r="F31" s="2">
        <v>103.8</v>
      </c>
      <c r="G31" s="1">
        <f t="shared" si="2"/>
        <v>97.303310914980429</v>
      </c>
      <c r="H31" s="2">
        <v>100.4</v>
      </c>
      <c r="I31" s="1">
        <f t="shared" si="3"/>
        <v>79.609445724410833</v>
      </c>
      <c r="J31" s="4">
        <v>31.2</v>
      </c>
      <c r="K31" s="5">
        <v>1309.31</v>
      </c>
      <c r="L31" s="24">
        <v>7.75</v>
      </c>
      <c r="M31" s="1">
        <v>74.760000000000005</v>
      </c>
      <c r="N31" s="1">
        <v>34.54</v>
      </c>
      <c r="O31" s="28">
        <v>0.51194536685943604</v>
      </c>
    </row>
    <row r="32" spans="1:15" x14ac:dyDescent="0.2">
      <c r="A32" s="21" t="s">
        <v>43</v>
      </c>
      <c r="B32" s="2">
        <v>100.7</v>
      </c>
      <c r="C32" s="1">
        <f t="shared" ref="C32" si="33">C33 / B33 * 100</f>
        <v>102.62266092066288</v>
      </c>
      <c r="D32" s="2">
        <v>103</v>
      </c>
      <c r="E32" s="1">
        <f t="shared" si="1"/>
        <v>93.723608780521019</v>
      </c>
      <c r="F32" s="2">
        <v>100</v>
      </c>
      <c r="G32" s="1">
        <f t="shared" si="2"/>
        <v>97.303310914980429</v>
      </c>
      <c r="H32" s="2">
        <v>100.4</v>
      </c>
      <c r="I32" s="1">
        <f t="shared" si="3"/>
        <v>79.927883507308479</v>
      </c>
      <c r="J32" s="4">
        <v>30.19</v>
      </c>
      <c r="K32" s="5">
        <v>1397.12</v>
      </c>
      <c r="L32" s="24">
        <v>7.75</v>
      </c>
      <c r="M32" s="1">
        <v>75.58</v>
      </c>
      <c r="N32" s="1">
        <v>23.5</v>
      </c>
      <c r="O32" s="28">
        <v>0.40759286284446716</v>
      </c>
    </row>
    <row r="33" spans="1:15" x14ac:dyDescent="0.2">
      <c r="A33" s="21" t="s">
        <v>44</v>
      </c>
      <c r="B33" s="2">
        <v>101.1</v>
      </c>
      <c r="C33" s="1">
        <f t="shared" ref="C33" si="34">C34/B34 * 100</f>
        <v>103.75151019079016</v>
      </c>
      <c r="D33" s="2">
        <v>101.8</v>
      </c>
      <c r="E33" s="1">
        <f t="shared" si="1"/>
        <v>95.410633738570397</v>
      </c>
      <c r="F33" s="2">
        <v>97.9</v>
      </c>
      <c r="G33" s="1">
        <f t="shared" si="2"/>
        <v>95.259941385765842</v>
      </c>
      <c r="H33" s="2">
        <v>100.6</v>
      </c>
      <c r="I33" s="1">
        <f t="shared" si="3"/>
        <v>80.407450808352323</v>
      </c>
      <c r="J33" s="4">
        <v>30.66</v>
      </c>
      <c r="K33" s="5">
        <v>1368.9</v>
      </c>
      <c r="L33" s="24">
        <v>7.75</v>
      </c>
      <c r="M33" s="1">
        <v>77.040000000000006</v>
      </c>
      <c r="N33" s="1">
        <v>26.05</v>
      </c>
      <c r="O33" s="28">
        <v>0.63215649127960205</v>
      </c>
    </row>
    <row r="34" spans="1:15" x14ac:dyDescent="0.2">
      <c r="A34" s="21" t="s">
        <v>45</v>
      </c>
      <c r="B34" s="2">
        <v>101.7</v>
      </c>
      <c r="C34" s="1">
        <f t="shared" ref="C34" si="35">C35 / B35 * 100</f>
        <v>105.5152858640336</v>
      </c>
      <c r="D34" s="2">
        <v>98.4</v>
      </c>
      <c r="E34" s="1">
        <f t="shared" si="1"/>
        <v>93.884063598753272</v>
      </c>
      <c r="F34" s="2">
        <v>101.1</v>
      </c>
      <c r="G34" s="1">
        <f t="shared" si="2"/>
        <v>96.30780074100926</v>
      </c>
      <c r="H34" s="2">
        <v>100.8</v>
      </c>
      <c r="I34" s="1">
        <f t="shared" si="3"/>
        <v>81.050710414819136</v>
      </c>
      <c r="J34" s="4">
        <v>30.4</v>
      </c>
      <c r="K34" s="5">
        <v>1440.3</v>
      </c>
      <c r="L34" s="24">
        <v>7.75</v>
      </c>
      <c r="M34" s="1">
        <v>77.84</v>
      </c>
      <c r="N34" s="1">
        <v>23.7</v>
      </c>
      <c r="O34" s="28">
        <v>0.35255315899848938</v>
      </c>
    </row>
    <row r="35" spans="1:15" x14ac:dyDescent="0.2">
      <c r="A35" s="21" t="s">
        <v>46</v>
      </c>
      <c r="B35" s="2">
        <v>105.3</v>
      </c>
      <c r="C35" s="1">
        <f t="shared" ref="C35" si="36">C36/B36 * 100</f>
        <v>111.10759601482738</v>
      </c>
      <c r="D35" s="2">
        <v>103.1</v>
      </c>
      <c r="E35" s="1">
        <f t="shared" si="1"/>
        <v>96.794469570314618</v>
      </c>
      <c r="F35" s="2">
        <v>100.6</v>
      </c>
      <c r="G35" s="1">
        <f t="shared" si="2"/>
        <v>96.885647545455299</v>
      </c>
      <c r="H35" s="2">
        <v>100.5</v>
      </c>
      <c r="I35" s="1">
        <f t="shared" si="3"/>
        <v>81.455963966893236</v>
      </c>
      <c r="J35" s="4">
        <v>30.78</v>
      </c>
      <c r="K35" s="5">
        <v>1523.39</v>
      </c>
      <c r="L35" s="24">
        <v>7.75</v>
      </c>
      <c r="M35" s="1">
        <v>82.67</v>
      </c>
      <c r="N35" s="1">
        <v>21.2</v>
      </c>
      <c r="O35" s="28">
        <v>0.24348931014537811</v>
      </c>
    </row>
    <row r="36" spans="1:15" x14ac:dyDescent="0.2">
      <c r="A36" s="21" t="s">
        <v>47</v>
      </c>
      <c r="B36" s="2">
        <v>101</v>
      </c>
      <c r="C36" s="1">
        <f t="shared" ref="C36" si="37">C37 / B37 * 100</f>
        <v>112.21867197497566</v>
      </c>
      <c r="D36" s="2">
        <v>99.6</v>
      </c>
      <c r="E36" s="1">
        <f t="shared" si="1"/>
        <v>96.407291692033354</v>
      </c>
      <c r="F36" s="2">
        <v>101.9</v>
      </c>
      <c r="G36" s="1">
        <f t="shared" si="2"/>
        <v>98.726474848818953</v>
      </c>
      <c r="H36" s="2">
        <v>100.8</v>
      </c>
      <c r="I36" s="1">
        <f t="shared" si="3"/>
        <v>82.107611678628373</v>
      </c>
      <c r="J36" s="4">
        <v>31.31</v>
      </c>
      <c r="K36" s="5">
        <v>1565.52</v>
      </c>
      <c r="L36" s="24">
        <v>7.75</v>
      </c>
      <c r="M36" s="1">
        <v>85.28</v>
      </c>
      <c r="N36" s="1">
        <v>23.54</v>
      </c>
      <c r="O36" s="28">
        <v>0.85520845651626587</v>
      </c>
    </row>
    <row r="37" spans="1:15" x14ac:dyDescent="0.2">
      <c r="A37" s="21" t="s">
        <v>48</v>
      </c>
      <c r="B37" s="2">
        <v>106.4</v>
      </c>
      <c r="C37" s="1">
        <f t="shared" ref="C37" si="38">C38/B38 * 100</f>
        <v>119.4006669813741</v>
      </c>
      <c r="D37" s="2">
        <v>119.1</v>
      </c>
      <c r="E37" s="1">
        <f t="shared" si="1"/>
        <v>114.82108440521171</v>
      </c>
      <c r="F37" s="2">
        <v>105.4</v>
      </c>
      <c r="G37" s="1">
        <f t="shared" si="2"/>
        <v>104.05770449065518</v>
      </c>
      <c r="H37" s="2">
        <v>101.1</v>
      </c>
      <c r="I37" s="1">
        <f t="shared" si="3"/>
        <v>83.010795407093269</v>
      </c>
      <c r="J37" s="4">
        <v>30.48</v>
      </c>
      <c r="K37" s="5">
        <v>1687.99</v>
      </c>
      <c r="L37" s="24">
        <v>7.75</v>
      </c>
      <c r="M37" s="1">
        <v>91.45</v>
      </c>
      <c r="N37" s="1">
        <v>17.75</v>
      </c>
      <c r="O37" s="28">
        <v>0.81618165969848633</v>
      </c>
    </row>
    <row r="38" spans="1:15" x14ac:dyDescent="0.2">
      <c r="A38" s="21" t="s">
        <v>49</v>
      </c>
      <c r="B38" s="2">
        <v>84.7</v>
      </c>
      <c r="C38" s="1">
        <f t="shared" ref="C38" si="39">C39 / B39 * 100</f>
        <v>101.13236493322387</v>
      </c>
      <c r="D38" s="2">
        <v>75.400000000000006</v>
      </c>
      <c r="E38" s="1">
        <f t="shared" si="1"/>
        <v>86.575097641529624</v>
      </c>
      <c r="F38" s="3">
        <v>86</v>
      </c>
      <c r="G38" s="1">
        <f t="shared" si="2"/>
        <v>89.489625861963461</v>
      </c>
      <c r="H38" s="2">
        <v>102.4</v>
      </c>
      <c r="I38" s="1">
        <f t="shared" si="3"/>
        <v>85.003054496863513</v>
      </c>
      <c r="J38" s="4">
        <v>29.67</v>
      </c>
      <c r="K38" s="5">
        <v>1723.42</v>
      </c>
      <c r="L38" s="24">
        <v>7.75</v>
      </c>
      <c r="M38" s="1">
        <v>96.52</v>
      </c>
      <c r="N38" s="1">
        <v>19.53</v>
      </c>
      <c r="O38" s="28">
        <v>0.51570558547973633</v>
      </c>
    </row>
    <row r="39" spans="1:15" x14ac:dyDescent="0.2">
      <c r="A39" s="21" t="s">
        <v>50</v>
      </c>
      <c r="B39" s="2">
        <v>99.1</v>
      </c>
      <c r="C39" s="1">
        <f t="shared" ref="C39" si="40">C40/B40 * 100</f>
        <v>100.22217364882484</v>
      </c>
      <c r="D39" s="2">
        <v>98.7</v>
      </c>
      <c r="E39" s="1">
        <f t="shared" si="1"/>
        <v>85.449621372189739</v>
      </c>
      <c r="F39" s="6">
        <v>101.2</v>
      </c>
      <c r="G39" s="1">
        <f t="shared" si="2"/>
        <v>90.56350137230703</v>
      </c>
      <c r="H39" s="2">
        <v>100.8</v>
      </c>
      <c r="I39" s="1">
        <f t="shared" si="3"/>
        <v>85.683078932838427</v>
      </c>
      <c r="J39" s="4">
        <v>28.94</v>
      </c>
      <c r="K39" s="5">
        <v>1777.84</v>
      </c>
      <c r="L39" s="24">
        <v>7.7588999999999997</v>
      </c>
      <c r="M39" s="1">
        <v>103.72</v>
      </c>
      <c r="N39" s="1">
        <v>18.350000000000001</v>
      </c>
      <c r="O39" s="28">
        <v>0.25448530912399292</v>
      </c>
    </row>
    <row r="40" spans="1:15" x14ac:dyDescent="0.2">
      <c r="A40" s="21" t="s">
        <v>51</v>
      </c>
      <c r="B40" s="2">
        <v>110.8</v>
      </c>
      <c r="C40" s="1">
        <f t="shared" ref="C40" si="41">C41 / B41 * 100</f>
        <v>111.04616840289793</v>
      </c>
      <c r="D40" s="2">
        <v>107.4</v>
      </c>
      <c r="E40" s="1">
        <f t="shared" si="1"/>
        <v>91.772893353731774</v>
      </c>
      <c r="F40" s="2">
        <v>106.6</v>
      </c>
      <c r="G40" s="1">
        <f t="shared" si="2"/>
        <v>96.540692462879292</v>
      </c>
      <c r="H40" s="2">
        <v>100.6</v>
      </c>
      <c r="I40" s="1">
        <f t="shared" si="3"/>
        <v>86.197177406435458</v>
      </c>
      <c r="J40" s="4">
        <v>28.43</v>
      </c>
      <c r="K40" s="5">
        <v>1813.59</v>
      </c>
      <c r="L40" s="24">
        <v>8</v>
      </c>
      <c r="M40" s="1">
        <v>114.64</v>
      </c>
      <c r="N40" s="1">
        <v>17.739999999999998</v>
      </c>
      <c r="O40" s="28">
        <v>0.67210227251052856</v>
      </c>
    </row>
    <row r="41" spans="1:15" x14ac:dyDescent="0.2">
      <c r="A41" s="21" t="s">
        <v>52</v>
      </c>
      <c r="B41" s="2">
        <v>95.9</v>
      </c>
      <c r="C41" s="1">
        <f t="shared" ref="C41" si="42">C42/B42 * 100</f>
        <v>106.49327549837912</v>
      </c>
      <c r="D41" s="2">
        <v>100.9</v>
      </c>
      <c r="E41" s="1">
        <f t="shared" si="1"/>
        <v>92.598849393915373</v>
      </c>
      <c r="F41" s="2">
        <v>100.7</v>
      </c>
      <c r="G41" s="1">
        <f t="shared" si="2"/>
        <v>97.216477310119444</v>
      </c>
      <c r="H41" s="2">
        <v>100.4</v>
      </c>
      <c r="I41" s="1">
        <f t="shared" si="3"/>
        <v>86.541966116061204</v>
      </c>
      <c r="J41" s="4">
        <v>27.5</v>
      </c>
      <c r="K41" s="5">
        <v>1741.84</v>
      </c>
      <c r="L41" s="24">
        <v>8</v>
      </c>
      <c r="M41" s="1">
        <v>123.26</v>
      </c>
      <c r="N41" s="1">
        <v>14.75</v>
      </c>
      <c r="O41" s="28">
        <v>0.29335835576057434</v>
      </c>
    </row>
    <row r="42" spans="1:15" x14ac:dyDescent="0.2">
      <c r="A42" s="21" t="s">
        <v>53</v>
      </c>
      <c r="B42" s="2">
        <v>100</v>
      </c>
      <c r="C42" s="1">
        <f t="shared" ref="C42" si="43">C43 / B43 * 100</f>
        <v>106.49327549837912</v>
      </c>
      <c r="D42" s="2">
        <v>102.8</v>
      </c>
      <c r="E42" s="1">
        <f t="shared" si="1"/>
        <v>95.191617176945002</v>
      </c>
      <c r="F42" s="2">
        <v>99.9</v>
      </c>
      <c r="G42" s="1">
        <f t="shared" si="2"/>
        <v>97.119260832809331</v>
      </c>
      <c r="H42" s="2">
        <v>100.5</v>
      </c>
      <c r="I42" s="1">
        <f t="shared" si="3"/>
        <v>86.974675946641511</v>
      </c>
      <c r="J42" s="4">
        <v>28.07</v>
      </c>
      <c r="K42" s="5">
        <v>1666.3</v>
      </c>
      <c r="L42" s="24">
        <v>8.2339000000000002</v>
      </c>
      <c r="M42" s="1">
        <v>114.99</v>
      </c>
      <c r="N42" s="1">
        <v>15.45</v>
      </c>
      <c r="O42" s="28">
        <v>0.22722108662128448</v>
      </c>
    </row>
    <row r="43" spans="1:15" x14ac:dyDescent="0.2">
      <c r="A43" s="21" t="s">
        <v>54</v>
      </c>
      <c r="B43" s="2">
        <v>101.9</v>
      </c>
      <c r="C43" s="1">
        <f t="shared" ref="C43" si="44">C44/B44 * 100</f>
        <v>108.51664773284833</v>
      </c>
      <c r="D43" s="2">
        <v>101.2</v>
      </c>
      <c r="E43" s="1">
        <f t="shared" si="1"/>
        <v>96.333916583068344</v>
      </c>
      <c r="F43" s="2">
        <v>103.1</v>
      </c>
      <c r="G43" s="1">
        <f t="shared" si="2"/>
        <v>100.12995791862642</v>
      </c>
      <c r="H43" s="2">
        <v>100.2</v>
      </c>
      <c r="I43" s="1">
        <f t="shared" si="3"/>
        <v>87.148625298534796</v>
      </c>
      <c r="J43" s="4">
        <v>28.08</v>
      </c>
      <c r="K43" s="5">
        <v>1666.59</v>
      </c>
      <c r="L43" s="24">
        <v>8.25</v>
      </c>
      <c r="M43" s="1">
        <v>113.83</v>
      </c>
      <c r="N43" s="1">
        <v>16.52</v>
      </c>
      <c r="O43" s="28">
        <v>0.30352556705474854</v>
      </c>
    </row>
    <row r="44" spans="1:15" x14ac:dyDescent="0.2">
      <c r="A44" s="21" t="s">
        <v>55</v>
      </c>
      <c r="B44" s="2">
        <v>99.9</v>
      </c>
      <c r="C44" s="1">
        <f t="shared" ref="C44" si="45">C45 / B45 * 100</f>
        <v>108.40813108511549</v>
      </c>
      <c r="D44" s="2">
        <v>103.3</v>
      </c>
      <c r="E44" s="1">
        <f t="shared" si="1"/>
        <v>99.512935830309601</v>
      </c>
      <c r="F44" s="2">
        <v>97.7</v>
      </c>
      <c r="G44" s="1">
        <f t="shared" si="2"/>
        <v>97.826968886498022</v>
      </c>
      <c r="H44" s="2">
        <v>100</v>
      </c>
      <c r="I44" s="1">
        <f t="shared" si="3"/>
        <v>87.148625298534796</v>
      </c>
      <c r="J44" s="4">
        <v>27.68</v>
      </c>
      <c r="K44" s="5">
        <v>1705.18</v>
      </c>
      <c r="L44" s="24">
        <v>8.25</v>
      </c>
      <c r="M44" s="1">
        <v>116.97</v>
      </c>
      <c r="N44" s="1">
        <v>25.25</v>
      </c>
      <c r="O44" s="28">
        <v>0.37607240676879883</v>
      </c>
    </row>
    <row r="45" spans="1:15" x14ac:dyDescent="0.2">
      <c r="A45" s="21" t="s">
        <v>56</v>
      </c>
      <c r="B45" s="2">
        <v>101.5</v>
      </c>
      <c r="C45" s="1">
        <f t="shared" ref="C45" si="46">C46/B46 * 100</f>
        <v>110.03425305139223</v>
      </c>
      <c r="D45" s="2">
        <v>103.8</v>
      </c>
      <c r="E45" s="1">
        <f t="shared" si="1"/>
        <v>103.29442739186136</v>
      </c>
      <c r="F45" s="2">
        <v>100.3</v>
      </c>
      <c r="G45" s="1">
        <f t="shared" si="2"/>
        <v>98.120449793157519</v>
      </c>
      <c r="H45" s="2">
        <v>99.8</v>
      </c>
      <c r="I45" s="1">
        <f t="shared" si="3"/>
        <v>86.974328047937732</v>
      </c>
      <c r="J45" s="4">
        <v>28.86</v>
      </c>
      <c r="K45" s="5">
        <v>1546.05</v>
      </c>
      <c r="L45" s="24">
        <v>8.25</v>
      </c>
      <c r="M45" s="1">
        <v>110.22</v>
      </c>
      <c r="N45" s="1">
        <v>31.62</v>
      </c>
      <c r="O45" s="28">
        <v>0.33743071556091309</v>
      </c>
    </row>
    <row r="46" spans="1:15" x14ac:dyDescent="0.2">
      <c r="A46" s="21" t="s">
        <v>57</v>
      </c>
      <c r="B46" s="2">
        <v>100.4</v>
      </c>
      <c r="C46" s="1">
        <f t="shared" ref="C46" si="47">C47 / B47 * 100</f>
        <v>110.47439006359781</v>
      </c>
      <c r="D46" s="2">
        <v>99.5</v>
      </c>
      <c r="E46" s="1">
        <f t="shared" si="1"/>
        <v>102.77795525490205</v>
      </c>
      <c r="F46" s="2">
        <v>99.5</v>
      </c>
      <c r="G46" s="1">
        <f t="shared" si="2"/>
        <v>97.629847544191733</v>
      </c>
      <c r="H46" s="2">
        <v>100</v>
      </c>
      <c r="I46" s="1">
        <f t="shared" si="3"/>
        <v>86.974328047937732</v>
      </c>
      <c r="J46" s="4">
        <v>31.88</v>
      </c>
      <c r="K46" s="5">
        <v>1366.54</v>
      </c>
      <c r="L46" s="24">
        <v>8.25</v>
      </c>
      <c r="M46" s="1">
        <v>112.83</v>
      </c>
      <c r="N46" s="1">
        <v>42.96</v>
      </c>
      <c r="O46" s="28">
        <v>0.31667840480804443</v>
      </c>
    </row>
    <row r="47" spans="1:15" x14ac:dyDescent="0.2">
      <c r="A47" s="21" t="s">
        <v>58</v>
      </c>
      <c r="B47" s="2">
        <v>104.1</v>
      </c>
      <c r="C47" s="1">
        <f t="shared" ref="C47" si="48">C48/B48 * 100</f>
        <v>115.00384005620532</v>
      </c>
      <c r="D47" s="2">
        <v>102.9</v>
      </c>
      <c r="E47" s="1">
        <f t="shared" si="1"/>
        <v>105.75851595729422</v>
      </c>
      <c r="F47" s="2">
        <v>100.9</v>
      </c>
      <c r="G47" s="1">
        <f t="shared" si="2"/>
        <v>98.508516172089472</v>
      </c>
      <c r="H47" s="2">
        <v>100.5</v>
      </c>
      <c r="I47" s="1">
        <f t="shared" si="3"/>
        <v>87.409199688177424</v>
      </c>
      <c r="J47" s="4">
        <v>29.9</v>
      </c>
      <c r="K47" s="5">
        <v>1498.6</v>
      </c>
      <c r="L47" s="24">
        <v>8.25</v>
      </c>
      <c r="M47" s="1">
        <v>109.55</v>
      </c>
      <c r="N47" s="1">
        <v>29.96</v>
      </c>
      <c r="O47" s="28">
        <v>0.35124692320823669</v>
      </c>
    </row>
    <row r="48" spans="1:15" x14ac:dyDescent="0.2">
      <c r="A48" s="21" t="s">
        <v>59</v>
      </c>
      <c r="B48" s="2">
        <v>101.6</v>
      </c>
      <c r="C48" s="1">
        <f t="shared" ref="C48" si="49">C49 / B49 * 100</f>
        <v>116.8439014971046</v>
      </c>
      <c r="D48" s="2">
        <v>99</v>
      </c>
      <c r="E48" s="1">
        <f t="shared" si="1"/>
        <v>104.70093079772127</v>
      </c>
      <c r="F48" s="2">
        <v>102.6</v>
      </c>
      <c r="G48" s="1">
        <f t="shared" si="2"/>
        <v>101.0697375925638</v>
      </c>
      <c r="H48" s="2">
        <v>100.4</v>
      </c>
      <c r="I48" s="1">
        <f t="shared" si="3"/>
        <v>87.758836486930136</v>
      </c>
      <c r="J48" s="4">
        <v>31.32</v>
      </c>
      <c r="K48" s="5">
        <v>1499.62</v>
      </c>
      <c r="L48" s="24">
        <v>8.25</v>
      </c>
      <c r="M48" s="1">
        <v>110.77</v>
      </c>
      <c r="N48" s="1">
        <v>27.8</v>
      </c>
      <c r="O48" s="28">
        <v>0.62761503458023071</v>
      </c>
    </row>
    <row r="49" spans="1:15" x14ac:dyDescent="0.2">
      <c r="A49" s="21" t="s">
        <v>60</v>
      </c>
      <c r="B49" s="2">
        <v>106.6</v>
      </c>
      <c r="C49" s="1">
        <f t="shared" ref="C49" si="50">C50/B50 * 100</f>
        <v>124.55559899591348</v>
      </c>
      <c r="D49" s="2">
        <v>120.1</v>
      </c>
      <c r="E49" s="1">
        <f t="shared" si="1"/>
        <v>125.74581788806323</v>
      </c>
      <c r="F49" s="2">
        <v>105.8</v>
      </c>
      <c r="G49" s="1">
        <f t="shared" si="2"/>
        <v>106.93178237293249</v>
      </c>
      <c r="H49" s="2">
        <v>100.4</v>
      </c>
      <c r="I49" s="1">
        <f t="shared" si="3"/>
        <v>88.109871832877857</v>
      </c>
      <c r="J49" s="4">
        <v>32.200000000000003</v>
      </c>
      <c r="K49" s="5">
        <v>1402.23</v>
      </c>
      <c r="L49" s="24">
        <v>8.2015999999999991</v>
      </c>
      <c r="M49" s="1">
        <v>107.87</v>
      </c>
      <c r="N49" s="1">
        <v>23.4</v>
      </c>
      <c r="O49" s="28">
        <v>0.56327897310256958</v>
      </c>
    </row>
    <row r="50" spans="1:15" x14ac:dyDescent="0.2">
      <c r="A50" s="21" t="s">
        <v>61</v>
      </c>
      <c r="B50" s="2">
        <v>84.2</v>
      </c>
      <c r="C50" s="1">
        <f t="shared" ref="C50" si="51">C51 / B51 * 100</f>
        <v>104.87581435455915</v>
      </c>
      <c r="D50" s="2">
        <v>74.099999999999994</v>
      </c>
      <c r="E50" s="1">
        <f t="shared" si="1"/>
        <v>93.177651055054852</v>
      </c>
      <c r="F50" s="3">
        <v>86.3</v>
      </c>
      <c r="G50" s="1">
        <f t="shared" si="2"/>
        <v>92.282128187840726</v>
      </c>
      <c r="H50" s="2">
        <v>100.5</v>
      </c>
      <c r="I50" s="1">
        <f t="shared" si="3"/>
        <v>88.550421192042251</v>
      </c>
      <c r="J50" s="4">
        <v>30.36</v>
      </c>
      <c r="K50" s="5">
        <v>1514.03</v>
      </c>
      <c r="L50" s="24">
        <v>8</v>
      </c>
      <c r="M50" s="1">
        <v>110.69</v>
      </c>
      <c r="N50" s="1">
        <v>19.440000000000001</v>
      </c>
      <c r="O50" s="28">
        <v>0.53185337781906128</v>
      </c>
    </row>
    <row r="51" spans="1:15" x14ac:dyDescent="0.2">
      <c r="A51" s="21" t="s">
        <v>62</v>
      </c>
      <c r="B51" s="2">
        <v>102.2</v>
      </c>
      <c r="C51" s="1">
        <f t="shared" ref="C51" si="52">C52/B52 * 100</f>
        <v>107.18308227035946</v>
      </c>
      <c r="D51" s="2">
        <v>99.5</v>
      </c>
      <c r="E51" s="1">
        <f t="shared" si="1"/>
        <v>92.711762799779578</v>
      </c>
      <c r="F51" s="6">
        <v>103.9</v>
      </c>
      <c r="G51" s="1">
        <f t="shared" si="2"/>
        <v>95.881131187166517</v>
      </c>
      <c r="H51" s="2">
        <v>100.4</v>
      </c>
      <c r="I51" s="1">
        <f t="shared" si="3"/>
        <v>88.904622876810421</v>
      </c>
      <c r="J51" s="4">
        <v>28.95</v>
      </c>
      <c r="K51" s="5">
        <v>1597.67</v>
      </c>
      <c r="L51" s="24">
        <v>8</v>
      </c>
      <c r="M51" s="1">
        <v>119.33</v>
      </c>
      <c r="N51" s="1">
        <v>18.43</v>
      </c>
      <c r="O51" s="28">
        <v>1.038611888885498</v>
      </c>
    </row>
    <row r="52" spans="1:15" x14ac:dyDescent="0.2">
      <c r="A52" s="21" t="s">
        <v>63</v>
      </c>
      <c r="B52" s="2">
        <v>107.1</v>
      </c>
      <c r="C52" s="1">
        <f t="shared" ref="C52" si="53">C53 / B53 * 100</f>
        <v>114.79308111155497</v>
      </c>
      <c r="D52" s="2">
        <v>106.9</v>
      </c>
      <c r="E52" s="1">
        <f t="shared" si="1"/>
        <v>99.10887443296437</v>
      </c>
      <c r="F52" s="2">
        <v>104.8</v>
      </c>
      <c r="G52" s="1">
        <f t="shared" si="2"/>
        <v>100.4834254841505</v>
      </c>
      <c r="H52" s="2">
        <v>100.6</v>
      </c>
      <c r="I52" s="1">
        <f t="shared" si="3"/>
        <v>89.438050614071287</v>
      </c>
      <c r="J52" s="4">
        <v>29.33</v>
      </c>
      <c r="K52" s="5">
        <v>1517.34</v>
      </c>
      <c r="L52" s="24">
        <v>8</v>
      </c>
      <c r="M52" s="1">
        <v>125.45</v>
      </c>
      <c r="N52" s="1">
        <v>15.5</v>
      </c>
      <c r="O52" s="28">
        <v>0.79703634977340698</v>
      </c>
    </row>
    <row r="53" spans="1:15" x14ac:dyDescent="0.2">
      <c r="A53" s="21" t="s">
        <v>64</v>
      </c>
      <c r="B53" s="2">
        <v>95.1</v>
      </c>
      <c r="C53" s="1">
        <f t="shared" ref="C53" si="54">C54/B54 * 100</f>
        <v>109.16822013708878</v>
      </c>
      <c r="D53" s="2">
        <v>100.2</v>
      </c>
      <c r="E53" s="1">
        <f t="shared" si="1"/>
        <v>99.307092181830299</v>
      </c>
      <c r="F53" s="2">
        <v>99.7</v>
      </c>
      <c r="G53" s="1">
        <f t="shared" si="2"/>
        <v>100.18197520769804</v>
      </c>
      <c r="H53" s="2">
        <v>100.3</v>
      </c>
      <c r="I53" s="1">
        <f t="shared" si="3"/>
        <v>89.706364765913492</v>
      </c>
      <c r="J53" s="4">
        <v>29.36</v>
      </c>
      <c r="K53" s="5">
        <v>1469.65</v>
      </c>
      <c r="L53" s="24">
        <v>8</v>
      </c>
      <c r="M53" s="1">
        <v>119.75</v>
      </c>
      <c r="N53" s="1">
        <v>17.149999999999999</v>
      </c>
      <c r="O53" s="28">
        <v>0.75187969207763672</v>
      </c>
    </row>
    <row r="54" spans="1:15" x14ac:dyDescent="0.2">
      <c r="A54" s="21" t="s">
        <v>65</v>
      </c>
      <c r="B54" s="2">
        <v>100.9</v>
      </c>
      <c r="C54" s="1">
        <f t="shared" ref="C54" si="55">C55 / B55 * 100</f>
        <v>110.15073411832257</v>
      </c>
      <c r="D54" s="2">
        <v>103.3</v>
      </c>
      <c r="E54" s="1">
        <f t="shared" si="1"/>
        <v>102.5842262238307</v>
      </c>
      <c r="F54" s="2">
        <v>100.2</v>
      </c>
      <c r="G54" s="1">
        <f t="shared" si="2"/>
        <v>100.38233915811344</v>
      </c>
      <c r="H54" s="2">
        <v>100.5</v>
      </c>
      <c r="I54" s="1">
        <f t="shared" si="3"/>
        <v>90.154896589743061</v>
      </c>
      <c r="J54" s="4">
        <v>32.450000000000003</v>
      </c>
      <c r="K54" s="5">
        <v>1306.42</v>
      </c>
      <c r="L54" s="24">
        <v>8</v>
      </c>
      <c r="M54" s="1">
        <v>110.34</v>
      </c>
      <c r="N54" s="1">
        <v>24.06</v>
      </c>
      <c r="O54" s="28">
        <v>0.64812630414962769</v>
      </c>
    </row>
    <row r="55" spans="1:15" x14ac:dyDescent="0.2">
      <c r="A55" s="21" t="s">
        <v>66</v>
      </c>
      <c r="B55" s="2">
        <v>100.1</v>
      </c>
      <c r="C55" s="1">
        <f t="shared" ref="C55" si="56">C56/B56 * 100</f>
        <v>110.2608848524409</v>
      </c>
      <c r="D55" s="2">
        <v>101.3</v>
      </c>
      <c r="E55" s="1">
        <f t="shared" si="1"/>
        <v>103.9178211647405</v>
      </c>
      <c r="F55" s="2">
        <v>103.1</v>
      </c>
      <c r="G55" s="1">
        <f t="shared" si="2"/>
        <v>103.49419167201495</v>
      </c>
      <c r="H55" s="2">
        <v>100.9</v>
      </c>
      <c r="I55" s="1">
        <f t="shared" si="3"/>
        <v>90.966290659050756</v>
      </c>
      <c r="J55" s="4">
        <v>32.82</v>
      </c>
      <c r="K55" s="5">
        <v>1387.52</v>
      </c>
      <c r="L55" s="24">
        <v>8</v>
      </c>
      <c r="M55" s="1">
        <v>95.16</v>
      </c>
      <c r="N55" s="1">
        <v>17.079999999999998</v>
      </c>
      <c r="O55" s="28">
        <v>0.82624244689941406</v>
      </c>
    </row>
    <row r="56" spans="1:15" x14ac:dyDescent="0.2">
      <c r="A56" s="21" t="s">
        <v>67</v>
      </c>
      <c r="B56" s="2">
        <v>101.9</v>
      </c>
      <c r="C56" s="1">
        <f t="shared" ref="C56" si="57">C57 / B57 * 100</f>
        <v>112.35584166463728</v>
      </c>
      <c r="D56" s="2">
        <v>101.8</v>
      </c>
      <c r="E56" s="1">
        <f t="shared" si="1"/>
        <v>105.78834194570584</v>
      </c>
      <c r="F56" s="2">
        <v>97.8</v>
      </c>
      <c r="G56" s="1">
        <f t="shared" si="2"/>
        <v>101.21731945523061</v>
      </c>
      <c r="H56" s="2">
        <v>101.2</v>
      </c>
      <c r="I56" s="1">
        <f t="shared" si="3"/>
        <v>92.057886146959362</v>
      </c>
      <c r="J56" s="4">
        <v>32.19</v>
      </c>
      <c r="K56" s="5">
        <v>1407.02</v>
      </c>
      <c r="L56" s="24">
        <v>8</v>
      </c>
      <c r="M56" s="1">
        <v>102.62</v>
      </c>
      <c r="N56" s="1">
        <v>18.93</v>
      </c>
      <c r="O56" s="28">
        <v>0.79912823438644409</v>
      </c>
    </row>
    <row r="57" spans="1:15" x14ac:dyDescent="0.2">
      <c r="A57" s="21" t="s">
        <v>68</v>
      </c>
      <c r="B57" s="2">
        <v>102.3</v>
      </c>
      <c r="C57" s="1">
        <f t="shared" ref="C57" si="58">C58/B58 * 100</f>
        <v>114.94002602292393</v>
      </c>
      <c r="D57" s="2">
        <v>102.8</v>
      </c>
      <c r="E57" s="1">
        <f t="shared" si="1"/>
        <v>108.75041552018558</v>
      </c>
      <c r="F57" s="2">
        <v>98.8</v>
      </c>
      <c r="G57" s="1">
        <f t="shared" si="2"/>
        <v>100.00271162176784</v>
      </c>
      <c r="H57" s="2">
        <v>100.1</v>
      </c>
      <c r="I57" s="1">
        <f t="shared" si="3"/>
        <v>92.149944033106323</v>
      </c>
      <c r="J57" s="4">
        <v>32.29</v>
      </c>
      <c r="K57" s="5">
        <v>1422.91</v>
      </c>
      <c r="L57" s="24">
        <v>8</v>
      </c>
      <c r="M57" s="1">
        <v>113.36</v>
      </c>
      <c r="N57" s="1">
        <v>17.47</v>
      </c>
      <c r="O57" s="28">
        <v>0.50908249616622925</v>
      </c>
    </row>
    <row r="58" spans="1:15" x14ac:dyDescent="0.2">
      <c r="A58" s="21" t="s">
        <v>69</v>
      </c>
      <c r="B58" s="2">
        <v>98.4</v>
      </c>
      <c r="C58" s="1">
        <f t="shared" ref="C58" si="59">C59 / B59 * 100</f>
        <v>113.10098560655715</v>
      </c>
      <c r="D58" s="2">
        <v>99.5</v>
      </c>
      <c r="E58" s="1">
        <f t="shared" si="1"/>
        <v>108.20666344258466</v>
      </c>
      <c r="F58" s="2">
        <v>100.2</v>
      </c>
      <c r="G58" s="1">
        <f t="shared" si="2"/>
        <v>100.20271704501138</v>
      </c>
      <c r="H58" s="2">
        <v>100.6</v>
      </c>
      <c r="I58" s="1">
        <f t="shared" si="3"/>
        <v>92.702843697304957</v>
      </c>
      <c r="J58" s="4">
        <v>30.92</v>
      </c>
      <c r="K58" s="5">
        <v>1458.26</v>
      </c>
      <c r="L58" s="24">
        <v>8.1417000000000002</v>
      </c>
      <c r="M58" s="1">
        <v>112.86</v>
      </c>
      <c r="N58" s="1">
        <v>15.73</v>
      </c>
      <c r="O58" s="28">
        <v>0.38253825902938843</v>
      </c>
    </row>
    <row r="59" spans="1:15" x14ac:dyDescent="0.2">
      <c r="A59" s="21" t="s">
        <v>70</v>
      </c>
      <c r="B59" s="2">
        <v>105.3</v>
      </c>
      <c r="C59" s="1">
        <f t="shared" ref="C59" si="60">C60/B60 * 100</f>
        <v>119.09533784370467</v>
      </c>
      <c r="D59" s="2">
        <v>102.3</v>
      </c>
      <c r="E59" s="1">
        <f t="shared" si="1"/>
        <v>110.69541670176409</v>
      </c>
      <c r="F59" s="2">
        <v>102.8</v>
      </c>
      <c r="G59" s="1">
        <f t="shared" si="2"/>
        <v>103.0083931222717</v>
      </c>
      <c r="H59" s="2">
        <v>100.5</v>
      </c>
      <c r="I59" s="1">
        <f t="shared" si="3"/>
        <v>93.16635791579148</v>
      </c>
      <c r="J59" s="4">
        <v>31.53</v>
      </c>
      <c r="K59" s="5">
        <v>1425.7</v>
      </c>
      <c r="L59" s="24">
        <v>8.25</v>
      </c>
      <c r="M59" s="1">
        <v>111.71</v>
      </c>
      <c r="N59" s="1">
        <v>18.600000000000001</v>
      </c>
      <c r="O59" s="28">
        <v>0.38958147168159485</v>
      </c>
    </row>
    <row r="60" spans="1:15" x14ac:dyDescent="0.2">
      <c r="A60" s="21" t="s">
        <v>71</v>
      </c>
      <c r="B60" s="2">
        <v>101.3</v>
      </c>
      <c r="C60" s="1">
        <f t="shared" ref="C60" si="61">C61 / B61 * 100</f>
        <v>120.64357723567282</v>
      </c>
      <c r="D60" s="2">
        <v>99.3</v>
      </c>
      <c r="E60" s="1">
        <f t="shared" si="1"/>
        <v>109.92054878485173</v>
      </c>
      <c r="F60" s="2">
        <v>102.1</v>
      </c>
      <c r="G60" s="1">
        <f t="shared" si="2"/>
        <v>105.1715693778394</v>
      </c>
      <c r="H60" s="2">
        <v>100.3</v>
      </c>
      <c r="I60" s="1">
        <f t="shared" si="3"/>
        <v>93.445856989538854</v>
      </c>
      <c r="J60" s="4">
        <v>31.06</v>
      </c>
      <c r="K60" s="5">
        <v>1405.97</v>
      </c>
      <c r="L60" s="24">
        <v>8.25</v>
      </c>
      <c r="M60" s="1">
        <v>109.06</v>
      </c>
      <c r="N60" s="1">
        <v>15.87</v>
      </c>
      <c r="O60" s="28">
        <v>0.29386156797409058</v>
      </c>
    </row>
    <row r="61" spans="1:15" x14ac:dyDescent="0.2">
      <c r="A61" s="21" t="s">
        <v>72</v>
      </c>
      <c r="B61" s="2">
        <v>106.1</v>
      </c>
      <c r="C61" s="1">
        <f t="shared" ref="C61" si="62">C62/B62 * 100</f>
        <v>128.00283544704885</v>
      </c>
      <c r="D61" s="2">
        <v>120.1</v>
      </c>
      <c r="E61" s="1">
        <f t="shared" si="1"/>
        <v>132.01457909060693</v>
      </c>
      <c r="F61" s="2">
        <v>105.2</v>
      </c>
      <c r="G61" s="1">
        <f t="shared" si="2"/>
        <v>110.64049098548705</v>
      </c>
      <c r="H61" s="2">
        <v>100.5</v>
      </c>
      <c r="I61" s="1">
        <f t="shared" si="3"/>
        <v>93.913086274486545</v>
      </c>
      <c r="J61" s="4">
        <v>30.37</v>
      </c>
      <c r="K61" s="5">
        <v>1474.72</v>
      </c>
      <c r="L61" s="24">
        <v>8.25</v>
      </c>
      <c r="M61" s="1">
        <v>109.49</v>
      </c>
      <c r="N61" s="1">
        <v>18.02</v>
      </c>
      <c r="O61" s="28">
        <v>0.62054699659347534</v>
      </c>
    </row>
    <row r="62" spans="1:15" x14ac:dyDescent="0.2">
      <c r="A62" s="21" t="s">
        <v>73</v>
      </c>
      <c r="B62" s="2">
        <v>81.599999999999994</v>
      </c>
      <c r="C62" s="1">
        <f t="shared" ref="C62" si="63">C63 / B63 * 100</f>
        <v>104.45031372479185</v>
      </c>
      <c r="D62" s="2">
        <v>73.7</v>
      </c>
      <c r="E62" s="1">
        <f t="shared" si="1"/>
        <v>97.294744789777297</v>
      </c>
      <c r="F62" s="3">
        <v>88.3</v>
      </c>
      <c r="G62" s="1">
        <f t="shared" si="2"/>
        <v>97.69555354018506</v>
      </c>
      <c r="H62" s="2">
        <v>101</v>
      </c>
      <c r="I62" s="1">
        <f t="shared" si="3"/>
        <v>94.852217137231406</v>
      </c>
      <c r="J62" s="4">
        <v>30.03</v>
      </c>
      <c r="K62" s="5">
        <v>1546.76</v>
      </c>
      <c r="L62" s="24">
        <v>8.25</v>
      </c>
      <c r="M62" s="1">
        <v>112.96</v>
      </c>
      <c r="N62" s="1">
        <v>14.28</v>
      </c>
      <c r="O62" s="28">
        <v>0.59612518548965454</v>
      </c>
    </row>
    <row r="63" spans="1:15" x14ac:dyDescent="0.2">
      <c r="A63" s="21" t="s">
        <v>74</v>
      </c>
      <c r="B63" s="2">
        <v>99.4</v>
      </c>
      <c r="C63" s="1">
        <f t="shared" ref="C63" si="64">C64/B64 * 100</f>
        <v>103.82361184244311</v>
      </c>
      <c r="D63" s="2">
        <v>98.2</v>
      </c>
      <c r="E63" s="1">
        <f t="shared" si="1"/>
        <v>95.543439383561306</v>
      </c>
      <c r="F63" s="6">
        <v>101.5</v>
      </c>
      <c r="G63" s="1">
        <f t="shared" si="2"/>
        <v>99.16098684328783</v>
      </c>
      <c r="H63" s="2">
        <v>100.6</v>
      </c>
      <c r="I63" s="1">
        <f t="shared" si="3"/>
        <v>95.421330440054788</v>
      </c>
      <c r="J63" s="4">
        <v>30.62</v>
      </c>
      <c r="K63" s="5">
        <v>1486.04</v>
      </c>
      <c r="L63" s="24">
        <v>8.25</v>
      </c>
      <c r="M63" s="1">
        <v>116.05</v>
      </c>
      <c r="N63" s="1">
        <v>15.51</v>
      </c>
      <c r="O63" s="28">
        <v>0.57366043329238892</v>
      </c>
    </row>
    <row r="64" spans="1:15" x14ac:dyDescent="0.2">
      <c r="A64" s="21" t="s">
        <v>75</v>
      </c>
      <c r="B64" s="2">
        <v>110.4</v>
      </c>
      <c r="C64" s="1">
        <f t="shared" ref="C64" si="65">C65 / B65 * 100</f>
        <v>114.62126747405719</v>
      </c>
      <c r="D64" s="2">
        <v>108.4</v>
      </c>
      <c r="E64" s="1">
        <f t="shared" si="1"/>
        <v>103.56908829178046</v>
      </c>
      <c r="F64" s="2">
        <v>102.5</v>
      </c>
      <c r="G64" s="1">
        <f t="shared" si="2"/>
        <v>101.64001151437002</v>
      </c>
      <c r="H64" s="2">
        <v>100.3</v>
      </c>
      <c r="I64" s="1">
        <f t="shared" si="3"/>
        <v>95.707594431374943</v>
      </c>
      <c r="J64" s="4">
        <v>31.08</v>
      </c>
      <c r="K64" s="5">
        <v>1438.57</v>
      </c>
      <c r="L64" s="24">
        <v>8.25</v>
      </c>
      <c r="M64" s="1">
        <v>108.47</v>
      </c>
      <c r="N64" s="1">
        <v>12.7</v>
      </c>
      <c r="O64" s="28">
        <v>0.43682429194450378</v>
      </c>
    </row>
    <row r="65" spans="1:145" x14ac:dyDescent="0.2">
      <c r="A65" s="21" t="s">
        <v>76</v>
      </c>
      <c r="B65" s="2">
        <v>96.3</v>
      </c>
      <c r="C65" s="1">
        <f t="shared" ref="C65" si="66">C66/B66 * 100</f>
        <v>110.38028057751707</v>
      </c>
      <c r="D65" s="2">
        <v>100</v>
      </c>
      <c r="E65" s="1">
        <f t="shared" si="1"/>
        <v>103.56908829178046</v>
      </c>
      <c r="F65" s="2">
        <v>101.5</v>
      </c>
      <c r="G65" s="1">
        <f t="shared" si="2"/>
        <v>103.16461168708555</v>
      </c>
      <c r="H65" s="2">
        <v>100.5</v>
      </c>
      <c r="I65" s="1">
        <f t="shared" si="3"/>
        <v>96.186132403531815</v>
      </c>
      <c r="J65" s="4">
        <v>31.26</v>
      </c>
      <c r="K65" s="5">
        <v>1385.88</v>
      </c>
      <c r="L65" s="24">
        <v>8.25</v>
      </c>
      <c r="M65" s="1">
        <v>102.25</v>
      </c>
      <c r="N65" s="1">
        <v>13.52</v>
      </c>
      <c r="O65" s="28">
        <v>0.55561983585357666</v>
      </c>
    </row>
    <row r="66" spans="1:145" x14ac:dyDescent="0.2">
      <c r="A66" s="21" t="s">
        <v>77</v>
      </c>
      <c r="B66" s="2">
        <v>99.3</v>
      </c>
      <c r="C66" s="1">
        <f t="shared" ref="C66" si="67">C67 / B67 * 100</f>
        <v>109.60761861347446</v>
      </c>
      <c r="D66" s="2">
        <v>102.3</v>
      </c>
      <c r="E66" s="1">
        <f t="shared" ref="E66:E72" si="68">E67/D67*100</f>
        <v>105.95117732249142</v>
      </c>
      <c r="F66" s="2">
        <v>98.5</v>
      </c>
      <c r="G66" s="1">
        <f t="shared" ref="G66:G72" si="69">G67/F67*100</f>
        <v>101.61714251177926</v>
      </c>
      <c r="H66" s="2">
        <v>100.7</v>
      </c>
      <c r="I66" s="1">
        <f t="shared" ref="I66:I71" si="70">I67/H67*100</f>
        <v>96.859435330356533</v>
      </c>
      <c r="J66" s="4">
        <v>31.59</v>
      </c>
      <c r="K66" s="5">
        <v>1350.17</v>
      </c>
      <c r="L66" s="24">
        <v>8.25</v>
      </c>
      <c r="M66" s="1">
        <v>102.56</v>
      </c>
      <c r="N66" s="1">
        <v>16.3</v>
      </c>
      <c r="O66" s="28">
        <v>0.65331012010574341</v>
      </c>
    </row>
    <row r="67" spans="1:145" x14ac:dyDescent="0.2">
      <c r="A67" s="21" t="s">
        <v>78</v>
      </c>
      <c r="B67" s="2">
        <v>102.3</v>
      </c>
      <c r="C67" s="1">
        <f t="shared" ref="C67" si="71">C68/B68 * 100</f>
        <v>112.12859384158438</v>
      </c>
      <c r="D67" s="2">
        <v>101.7</v>
      </c>
      <c r="E67" s="1">
        <f t="shared" si="68"/>
        <v>107.75234733697377</v>
      </c>
      <c r="F67" s="2">
        <v>101.9</v>
      </c>
      <c r="G67" s="1">
        <f t="shared" si="69"/>
        <v>103.54786821950309</v>
      </c>
      <c r="H67" s="2">
        <v>100.4</v>
      </c>
      <c r="I67" s="1">
        <f t="shared" si="70"/>
        <v>97.246873071677967</v>
      </c>
      <c r="J67" s="4">
        <v>32.71</v>
      </c>
      <c r="K67" s="5">
        <v>1330.46</v>
      </c>
      <c r="L67" s="24">
        <v>8.25</v>
      </c>
      <c r="M67" s="1">
        <v>102.92</v>
      </c>
      <c r="N67" s="1">
        <v>16.86</v>
      </c>
      <c r="O67" s="28">
        <v>0.54782015085220337</v>
      </c>
    </row>
    <row r="68" spans="1:145" x14ac:dyDescent="0.2">
      <c r="A68" s="21" t="s">
        <v>79</v>
      </c>
      <c r="B68" s="2">
        <v>101</v>
      </c>
      <c r="C68" s="1">
        <f t="shared" ref="C68" si="72">C69 / B69 * 100</f>
        <v>113.24987978000023</v>
      </c>
      <c r="D68" s="2">
        <v>102.5</v>
      </c>
      <c r="E68" s="1">
        <f t="shared" si="68"/>
        <v>110.44615602039811</v>
      </c>
      <c r="F68" s="2">
        <v>100.4</v>
      </c>
      <c r="G68" s="1">
        <f t="shared" si="69"/>
        <v>103.9620596923811</v>
      </c>
      <c r="H68" s="2">
        <v>100.8</v>
      </c>
      <c r="I68" s="1">
        <f t="shared" si="70"/>
        <v>98.024848056251386</v>
      </c>
      <c r="J68" s="4">
        <v>32.89</v>
      </c>
      <c r="K68" s="5">
        <v>1375.79</v>
      </c>
      <c r="L68" s="24">
        <v>8.25</v>
      </c>
      <c r="M68" s="1">
        <v>107.93</v>
      </c>
      <c r="N68" s="1">
        <v>13.45</v>
      </c>
      <c r="O68" s="28">
        <v>0.52871906757354736</v>
      </c>
    </row>
    <row r="69" spans="1:145" x14ac:dyDescent="0.2">
      <c r="A69" s="21" t="s">
        <v>80</v>
      </c>
      <c r="B69" s="2">
        <v>101.3</v>
      </c>
      <c r="C69" s="1">
        <f t="shared" ref="C69" si="73">C70/B70 * 100</f>
        <v>114.72212821714022</v>
      </c>
      <c r="D69" s="2">
        <v>102.6</v>
      </c>
      <c r="E69" s="1">
        <f t="shared" si="68"/>
        <v>113.31775607692846</v>
      </c>
      <c r="F69" s="2">
        <v>100.2</v>
      </c>
      <c r="G69" s="1">
        <f t="shared" si="69"/>
        <v>104.16998381176586</v>
      </c>
      <c r="H69" s="2">
        <v>100.1</v>
      </c>
      <c r="I69" s="1">
        <f t="shared" si="70"/>
        <v>98.122872904307641</v>
      </c>
      <c r="J69" s="4">
        <v>33.25</v>
      </c>
      <c r="K69" s="5">
        <v>1364.65</v>
      </c>
      <c r="L69" s="24">
        <v>8.25</v>
      </c>
      <c r="M69" s="1">
        <v>111.28</v>
      </c>
      <c r="N69" s="1">
        <v>17.010000000000002</v>
      </c>
      <c r="O69" s="28">
        <v>0.59094667434692383</v>
      </c>
    </row>
    <row r="70" spans="1:145" x14ac:dyDescent="0.2">
      <c r="A70" s="21" t="s">
        <v>81</v>
      </c>
      <c r="B70" s="2">
        <v>99.9</v>
      </c>
      <c r="C70" s="1">
        <f t="shared" ref="C70" si="74">C71 / B71 * 100</f>
        <v>114.60740608892309</v>
      </c>
      <c r="D70" s="2">
        <v>98.6</v>
      </c>
      <c r="E70" s="1">
        <f t="shared" si="68"/>
        <v>111.73130749185147</v>
      </c>
      <c r="F70" s="2">
        <v>99.5</v>
      </c>
      <c r="G70" s="1">
        <f t="shared" si="69"/>
        <v>103.64913389270703</v>
      </c>
      <c r="H70" s="2">
        <v>100.2</v>
      </c>
      <c r="I70" s="1">
        <f t="shared" si="70"/>
        <v>98.319118650116266</v>
      </c>
      <c r="J70" s="4">
        <v>32.35</v>
      </c>
      <c r="K70" s="5">
        <v>1462.82</v>
      </c>
      <c r="L70" s="24">
        <v>6.6</v>
      </c>
      <c r="M70" s="1">
        <v>111.6</v>
      </c>
      <c r="N70" s="1">
        <v>16.600000000000001</v>
      </c>
      <c r="O70" s="28">
        <v>1.1477439403533936</v>
      </c>
    </row>
    <row r="71" spans="1:145" x14ac:dyDescent="0.2">
      <c r="A71" s="21" t="s">
        <v>82</v>
      </c>
      <c r="B71" s="2">
        <v>105</v>
      </c>
      <c r="C71" s="1">
        <f t="shared" ref="C71" si="75">C72/B72 * 100</f>
        <v>120.33777639336923</v>
      </c>
      <c r="D71" s="2">
        <v>102.3</v>
      </c>
      <c r="E71" s="1">
        <f t="shared" si="68"/>
        <v>114.30112756416406</v>
      </c>
      <c r="F71" s="2">
        <v>102.3</v>
      </c>
      <c r="G71" s="1">
        <f t="shared" si="69"/>
        <v>106.03306397223929</v>
      </c>
      <c r="H71" s="2">
        <v>100.6</v>
      </c>
      <c r="I71" s="1">
        <f t="shared" si="70"/>
        <v>98.909033362016956</v>
      </c>
      <c r="J71" s="4">
        <v>32.06</v>
      </c>
      <c r="K71" s="5">
        <v>1510.21</v>
      </c>
      <c r="L71" s="24">
        <v>5.5</v>
      </c>
      <c r="M71" s="1">
        <v>109.08</v>
      </c>
      <c r="N71" s="1">
        <v>13.75</v>
      </c>
      <c r="O71" s="28">
        <v>0.67477875947952271</v>
      </c>
    </row>
    <row r="72" spans="1:145" x14ac:dyDescent="0.2">
      <c r="A72" s="21" t="s">
        <v>83</v>
      </c>
      <c r="B72" s="2">
        <v>103.1</v>
      </c>
      <c r="C72" s="1">
        <f>C73 / B73 * 100</f>
        <v>124.06824746156366</v>
      </c>
      <c r="D72" s="2">
        <v>100.1</v>
      </c>
      <c r="E72" s="1">
        <f t="shared" si="68"/>
        <v>114.41542869172821</v>
      </c>
      <c r="F72" s="2">
        <v>100.5</v>
      </c>
      <c r="G72" s="1">
        <f t="shared" si="69"/>
        <v>106.56322929210047</v>
      </c>
      <c r="H72" s="2">
        <v>100.6</v>
      </c>
      <c r="I72" s="1">
        <f>I73/H73*100</f>
        <v>99.50248756218906</v>
      </c>
      <c r="J72" s="4">
        <v>33.19</v>
      </c>
      <c r="K72" s="5">
        <v>1479.35</v>
      </c>
      <c r="L72" s="24">
        <v>5.5</v>
      </c>
      <c r="M72" s="1">
        <v>107.79</v>
      </c>
      <c r="N72" s="1">
        <v>13.7</v>
      </c>
      <c r="O72" s="28">
        <v>0.79532164335250854</v>
      </c>
    </row>
    <row r="73" spans="1:145" x14ac:dyDescent="0.2">
      <c r="A73" s="22" t="s">
        <v>84</v>
      </c>
      <c r="B73" s="7">
        <v>103.6</v>
      </c>
      <c r="C73" s="1">
        <f>C74/B74 * 100</f>
        <v>128.53470437017995</v>
      </c>
      <c r="D73" s="2">
        <v>119.4</v>
      </c>
      <c r="E73" s="1">
        <f>E74/D74*100</f>
        <v>136.61202185792348</v>
      </c>
      <c r="F73" s="2">
        <v>104.5</v>
      </c>
      <c r="G73" s="1">
        <f>G74/F74*100</f>
        <v>111.35857461024499</v>
      </c>
      <c r="H73" s="2">
        <v>100.5</v>
      </c>
      <c r="I73" s="1">
        <v>100</v>
      </c>
      <c r="J73" s="4">
        <v>32.729999999999997</v>
      </c>
      <c r="K73" s="5">
        <v>1504.08</v>
      </c>
      <c r="L73" s="24">
        <v>5.5</v>
      </c>
      <c r="M73" s="1">
        <v>110.76</v>
      </c>
      <c r="N73" s="1">
        <v>13.72</v>
      </c>
      <c r="O73" s="28">
        <v>0.57327121496200562</v>
      </c>
    </row>
    <row r="74" spans="1:145" x14ac:dyDescent="0.2">
      <c r="A74" s="21" t="s">
        <v>85</v>
      </c>
      <c r="B74" s="2">
        <v>77.8</v>
      </c>
      <c r="C74" s="2">
        <v>100</v>
      </c>
      <c r="D74" s="2">
        <v>73.2</v>
      </c>
      <c r="E74" s="2">
        <v>100</v>
      </c>
      <c r="F74" s="3">
        <v>89.8</v>
      </c>
      <c r="G74" s="2">
        <v>100</v>
      </c>
      <c r="H74" s="2">
        <v>100.6</v>
      </c>
      <c r="I74" s="2">
        <f>I73*H74 / 100</f>
        <v>100.6</v>
      </c>
      <c r="J74" s="4">
        <v>35.24</v>
      </c>
      <c r="K74" s="5">
        <v>1454.45</v>
      </c>
      <c r="L74" s="24">
        <v>5.5</v>
      </c>
      <c r="M74" s="1">
        <v>108.12</v>
      </c>
      <c r="N74" s="1">
        <v>18.41</v>
      </c>
      <c r="O74" s="28">
        <v>0.75883328914642334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8"/>
      <c r="BX74" s="8"/>
      <c r="BY74" s="2"/>
      <c r="BZ74" s="8"/>
      <c r="CA74" s="8"/>
      <c r="CB74" s="8"/>
      <c r="CC74" s="8"/>
      <c r="CD74" s="8"/>
      <c r="CE74" s="8"/>
      <c r="CF74" s="2"/>
      <c r="CG74" s="2"/>
      <c r="CH74" s="8"/>
      <c r="CI74" s="2"/>
      <c r="CJ74" s="8"/>
      <c r="CK74" s="2"/>
      <c r="CL74" s="2"/>
      <c r="CM74" s="2"/>
      <c r="CN74" s="8"/>
      <c r="CO74" s="8"/>
      <c r="CP74" s="8"/>
      <c r="CQ74" s="8"/>
      <c r="CR74" s="8"/>
      <c r="CS74" s="8"/>
      <c r="CT74" s="2"/>
      <c r="CU74" s="2"/>
      <c r="CV74" s="8"/>
      <c r="CW74" s="2"/>
      <c r="CX74" s="2"/>
      <c r="CY74" s="2"/>
      <c r="CZ74" s="8"/>
      <c r="DA74" s="8"/>
      <c r="DB74" s="8"/>
      <c r="DC74" s="8"/>
      <c r="DD74" s="8"/>
      <c r="DE74" s="8"/>
      <c r="DF74" s="2"/>
      <c r="DG74" s="2"/>
      <c r="DH74" s="8"/>
      <c r="DI74" s="2"/>
      <c r="DJ74" s="2"/>
      <c r="DK74" s="2"/>
      <c r="DL74" s="2"/>
      <c r="DM74" s="2"/>
      <c r="DN74" s="2"/>
      <c r="DO74" s="2"/>
      <c r="DP74" s="8"/>
      <c r="DQ74" s="2"/>
      <c r="DR74" s="2"/>
      <c r="DS74" s="2"/>
      <c r="DT74" s="8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8"/>
      <c r="EG74" s="2"/>
      <c r="EH74" s="2"/>
      <c r="EI74" s="2"/>
      <c r="EJ74" s="2"/>
      <c r="EK74" s="2"/>
      <c r="EL74" s="2"/>
      <c r="EM74" s="2"/>
      <c r="EN74" s="2"/>
      <c r="EO74" s="2"/>
    </row>
    <row r="75" spans="1:145" x14ac:dyDescent="0.2">
      <c r="A75" s="21" t="s">
        <v>86</v>
      </c>
      <c r="B75" s="2">
        <v>101.5</v>
      </c>
      <c r="C75" s="1">
        <f xml:space="preserve"> C74*B75 / 100</f>
        <v>101.5</v>
      </c>
      <c r="D75" s="2">
        <v>99.5</v>
      </c>
      <c r="E75" s="1">
        <f>E74*D75 / 100</f>
        <v>99.5</v>
      </c>
      <c r="F75" s="6">
        <v>102</v>
      </c>
      <c r="G75" s="1">
        <f>G74*F75 / 100</f>
        <v>102</v>
      </c>
      <c r="H75" s="2">
        <v>100.7</v>
      </c>
      <c r="I75" s="2">
        <f t="shared" ref="I75:I138" si="76">I74*H75 / 100</f>
        <v>101.30419999999999</v>
      </c>
      <c r="J75" s="4">
        <v>36.049999999999997</v>
      </c>
      <c r="K75" s="5">
        <v>1444.71</v>
      </c>
      <c r="L75" s="24">
        <v>5.5</v>
      </c>
      <c r="M75" s="1">
        <v>108.9</v>
      </c>
      <c r="N75" s="1">
        <v>14</v>
      </c>
      <c r="O75" s="28">
        <v>0.72983670234680176</v>
      </c>
    </row>
    <row r="76" spans="1:145" x14ac:dyDescent="0.2">
      <c r="A76" s="21" t="s">
        <v>87</v>
      </c>
      <c r="B76" s="2">
        <v>109.2</v>
      </c>
      <c r="C76" s="1">
        <f t="shared" ref="C76:C139" si="77" xml:space="preserve"> C75*B76 / 100</f>
        <v>110.83800000000001</v>
      </c>
      <c r="D76" s="2">
        <v>108.6</v>
      </c>
      <c r="E76" s="1">
        <f t="shared" ref="E76:E139" si="78">E75*D76 / 100</f>
        <v>108.05699999999999</v>
      </c>
      <c r="F76" s="2">
        <v>103.1</v>
      </c>
      <c r="G76" s="1">
        <f t="shared" ref="G76:G139" si="79">G75*F76 / 100</f>
        <v>105.16199999999999</v>
      </c>
      <c r="H76" s="2">
        <v>101</v>
      </c>
      <c r="I76" s="2">
        <f t="shared" si="76"/>
        <v>102.31724199999999</v>
      </c>
      <c r="J76" s="4">
        <v>35.69</v>
      </c>
      <c r="K76" s="5">
        <v>1353.79</v>
      </c>
      <c r="L76" s="24">
        <v>6.9032</v>
      </c>
      <c r="M76" s="1">
        <v>107.48</v>
      </c>
      <c r="N76" s="1">
        <v>13.88</v>
      </c>
      <c r="O76" s="28">
        <v>1.9892110824584961</v>
      </c>
    </row>
    <row r="77" spans="1:145" x14ac:dyDescent="0.2">
      <c r="A77" s="21" t="s">
        <v>88</v>
      </c>
      <c r="B77" s="2">
        <v>98.6</v>
      </c>
      <c r="C77" s="1">
        <f t="shared" si="77"/>
        <v>109.28626800000001</v>
      </c>
      <c r="D77" s="2">
        <v>98.6</v>
      </c>
      <c r="E77" s="1">
        <f t="shared" si="78"/>
        <v>106.54420199999998</v>
      </c>
      <c r="F77" s="2">
        <v>100.5</v>
      </c>
      <c r="G77" s="1">
        <f t="shared" si="79"/>
        <v>105.68780999999998</v>
      </c>
      <c r="H77" s="2">
        <v>100.9</v>
      </c>
      <c r="I77" s="2">
        <f t="shared" si="76"/>
        <v>103.238097178</v>
      </c>
      <c r="J77" s="4">
        <v>35.700000000000003</v>
      </c>
      <c r="K77" s="5">
        <v>1306.01</v>
      </c>
      <c r="L77" s="24">
        <v>7.05</v>
      </c>
      <c r="M77" s="1">
        <v>107.76</v>
      </c>
      <c r="N77" s="1">
        <v>13.41</v>
      </c>
      <c r="O77" s="28">
        <v>1.4118498563766479</v>
      </c>
    </row>
    <row r="78" spans="1:145" x14ac:dyDescent="0.2">
      <c r="A78" s="21" t="s">
        <v>89</v>
      </c>
      <c r="B78" s="2">
        <v>98.2</v>
      </c>
      <c r="C78" s="1">
        <f t="shared" si="77"/>
        <v>107.31911517600001</v>
      </c>
      <c r="D78" s="2">
        <v>101.7</v>
      </c>
      <c r="E78" s="1">
        <f t="shared" si="78"/>
        <v>108.355453434</v>
      </c>
      <c r="F78" s="2">
        <v>97.1</v>
      </c>
      <c r="G78" s="1">
        <f t="shared" si="79"/>
        <v>102.62286350999997</v>
      </c>
      <c r="H78" s="2">
        <v>100.9</v>
      </c>
      <c r="I78" s="2">
        <f t="shared" si="76"/>
        <v>104.16724005260201</v>
      </c>
      <c r="J78" s="4">
        <v>34.74</v>
      </c>
      <c r="K78" s="5">
        <v>1432.03</v>
      </c>
      <c r="L78" s="24">
        <v>7.5</v>
      </c>
      <c r="M78" s="1">
        <v>109.54</v>
      </c>
      <c r="N78" s="1">
        <v>11.4</v>
      </c>
      <c r="O78" s="28">
        <v>1.0801591873168945</v>
      </c>
    </row>
    <row r="79" spans="1:145" x14ac:dyDescent="0.2">
      <c r="A79" s="21" t="s">
        <v>90</v>
      </c>
      <c r="B79" s="2">
        <v>101.7</v>
      </c>
      <c r="C79" s="1">
        <f t="shared" si="77"/>
        <v>109.143540133992</v>
      </c>
      <c r="D79" s="2">
        <v>100.6</v>
      </c>
      <c r="E79" s="1">
        <f t="shared" si="78"/>
        <v>109.00558615460399</v>
      </c>
      <c r="F79" s="2">
        <v>101.8</v>
      </c>
      <c r="G79" s="1">
        <f t="shared" si="79"/>
        <v>104.47007505317997</v>
      </c>
      <c r="H79" s="2">
        <v>100.6</v>
      </c>
      <c r="I79" s="2">
        <f t="shared" si="76"/>
        <v>104.79224349291762</v>
      </c>
      <c r="J79" s="4">
        <v>33.630000000000003</v>
      </c>
      <c r="K79" s="5">
        <v>1476.38</v>
      </c>
      <c r="L79" s="24">
        <v>7.5</v>
      </c>
      <c r="M79" s="1">
        <v>111.8</v>
      </c>
      <c r="N79" s="1">
        <v>11.57</v>
      </c>
      <c r="O79" s="28">
        <v>0.93413174152374268</v>
      </c>
    </row>
    <row r="80" spans="1:145" x14ac:dyDescent="0.2">
      <c r="A80" s="21" t="s">
        <v>91</v>
      </c>
      <c r="B80" s="2">
        <v>101.2</v>
      </c>
      <c r="C80" s="1">
        <f t="shared" si="77"/>
        <v>110.45326261559991</v>
      </c>
      <c r="D80" s="2">
        <v>103.1</v>
      </c>
      <c r="E80" s="1">
        <f t="shared" si="78"/>
        <v>112.3847593253967</v>
      </c>
      <c r="F80" s="2">
        <v>100.5</v>
      </c>
      <c r="G80" s="1">
        <f t="shared" si="79"/>
        <v>104.99242542844587</v>
      </c>
      <c r="H80" s="2">
        <v>100.5</v>
      </c>
      <c r="I80" s="2">
        <f t="shared" si="76"/>
        <v>105.31620471038221</v>
      </c>
      <c r="J80" s="4">
        <v>35.729999999999997</v>
      </c>
      <c r="K80" s="5">
        <v>1379.61</v>
      </c>
      <c r="L80" s="24">
        <v>7.5644999999999998</v>
      </c>
      <c r="M80" s="1">
        <v>106.77</v>
      </c>
      <c r="N80" s="1">
        <v>16.95</v>
      </c>
      <c r="O80" s="28">
        <v>1.6098029613494873</v>
      </c>
    </row>
    <row r="81" spans="1:15" x14ac:dyDescent="0.2">
      <c r="A81" s="21" t="s">
        <v>92</v>
      </c>
      <c r="B81" s="2">
        <v>99.7</v>
      </c>
      <c r="C81" s="1">
        <f t="shared" si="77"/>
        <v>110.1219028277531</v>
      </c>
      <c r="D81" s="2">
        <v>103</v>
      </c>
      <c r="E81" s="1">
        <f t="shared" si="78"/>
        <v>115.7563021051586</v>
      </c>
      <c r="F81" s="2">
        <v>100.6</v>
      </c>
      <c r="G81" s="1">
        <f t="shared" si="79"/>
        <v>105.62237998101655</v>
      </c>
      <c r="H81" s="2">
        <v>100.2</v>
      </c>
      <c r="I81" s="2">
        <f t="shared" si="76"/>
        <v>105.52683711980299</v>
      </c>
      <c r="J81" s="4">
        <v>36.93</v>
      </c>
      <c r="K81" s="5">
        <v>1400.71</v>
      </c>
      <c r="L81" s="24">
        <v>8</v>
      </c>
      <c r="M81" s="1">
        <v>101.61</v>
      </c>
      <c r="N81" s="1">
        <v>11.98</v>
      </c>
      <c r="O81" s="28">
        <v>1.1874469518661499</v>
      </c>
    </row>
    <row r="82" spans="1:15" x14ac:dyDescent="0.2">
      <c r="A82" s="21" t="s">
        <v>93</v>
      </c>
      <c r="B82" s="2">
        <v>103.6</v>
      </c>
      <c r="C82" s="1">
        <f t="shared" si="77"/>
        <v>114.08629132955221</v>
      </c>
      <c r="D82" s="2">
        <v>98.4</v>
      </c>
      <c r="E82" s="1">
        <f t="shared" si="78"/>
        <v>113.90420127147607</v>
      </c>
      <c r="F82" s="2">
        <v>100.6</v>
      </c>
      <c r="G82" s="1">
        <f t="shared" si="79"/>
        <v>106.25611426090265</v>
      </c>
      <c r="H82" s="2">
        <v>100.7</v>
      </c>
      <c r="I82" s="2">
        <f t="shared" si="76"/>
        <v>106.26552497964161</v>
      </c>
      <c r="J82" s="4">
        <v>39.39</v>
      </c>
      <c r="K82" s="5">
        <v>1411.07</v>
      </c>
      <c r="L82" s="24">
        <v>8</v>
      </c>
      <c r="M82" s="1">
        <v>97.09</v>
      </c>
      <c r="N82" s="1">
        <v>16.309999999999999</v>
      </c>
      <c r="O82" s="28">
        <v>1.435578465461731</v>
      </c>
    </row>
    <row r="83" spans="1:15" x14ac:dyDescent="0.2">
      <c r="A83" s="21" t="s">
        <v>94</v>
      </c>
      <c r="B83" s="2">
        <v>106.3</v>
      </c>
      <c r="C83" s="1">
        <f t="shared" si="77"/>
        <v>121.27372768331399</v>
      </c>
      <c r="D83" s="2">
        <v>102.2</v>
      </c>
      <c r="E83" s="1">
        <f t="shared" si="78"/>
        <v>116.41009369944855</v>
      </c>
      <c r="F83" s="2">
        <v>101</v>
      </c>
      <c r="G83" s="1">
        <f t="shared" si="79"/>
        <v>107.31867540351168</v>
      </c>
      <c r="H83" s="2">
        <v>100.8</v>
      </c>
      <c r="I83" s="2">
        <f t="shared" si="76"/>
        <v>107.11564917947874</v>
      </c>
      <c r="J83" s="4">
        <v>43.39</v>
      </c>
      <c r="K83" s="5">
        <v>1488.47</v>
      </c>
      <c r="L83" s="24">
        <v>8</v>
      </c>
      <c r="M83" s="1">
        <v>87.43</v>
      </c>
      <c r="N83" s="1">
        <v>14.03</v>
      </c>
      <c r="O83" s="28">
        <v>0.48082298040390015</v>
      </c>
    </row>
    <row r="84" spans="1:15" x14ac:dyDescent="0.2">
      <c r="A84" s="21" t="s">
        <v>95</v>
      </c>
      <c r="B84" s="2">
        <v>99.3</v>
      </c>
      <c r="C84" s="1">
        <f t="shared" si="77"/>
        <v>120.4248115895308</v>
      </c>
      <c r="D84" s="2">
        <v>100.1</v>
      </c>
      <c r="E84" s="1">
        <f t="shared" si="78"/>
        <v>116.52650379314798</v>
      </c>
      <c r="F84" s="2">
        <v>100</v>
      </c>
      <c r="G84" s="1">
        <f t="shared" si="79"/>
        <v>107.31867540351168</v>
      </c>
      <c r="H84" s="2">
        <v>101.3</v>
      </c>
      <c r="I84" s="2">
        <f t="shared" si="76"/>
        <v>108.50815261881196</v>
      </c>
      <c r="J84" s="4">
        <v>49.32</v>
      </c>
      <c r="K84" s="5">
        <v>1533.68</v>
      </c>
      <c r="L84" s="24">
        <v>9.3000000000000007</v>
      </c>
      <c r="M84" s="1">
        <v>79.44</v>
      </c>
      <c r="N84" s="1">
        <v>13.33</v>
      </c>
      <c r="O84" s="28">
        <v>0.76381427049636841</v>
      </c>
    </row>
    <row r="85" spans="1:15" x14ac:dyDescent="0.2">
      <c r="A85" s="21" t="s">
        <v>96</v>
      </c>
      <c r="B85" s="2">
        <v>112.4</v>
      </c>
      <c r="C85" s="1">
        <f t="shared" si="77"/>
        <v>135.35748822663263</v>
      </c>
      <c r="D85" s="2">
        <v>123.2</v>
      </c>
      <c r="E85" s="1">
        <f t="shared" si="78"/>
        <v>143.5606526731583</v>
      </c>
      <c r="F85" s="2">
        <v>106.5</v>
      </c>
      <c r="G85" s="1">
        <f t="shared" si="79"/>
        <v>114.29438930473994</v>
      </c>
      <c r="H85" s="2">
        <v>102.6</v>
      </c>
      <c r="I85" s="2">
        <f t="shared" si="76"/>
        <v>111.32936458690106</v>
      </c>
      <c r="J85" s="4">
        <v>56.26</v>
      </c>
      <c r="K85" s="5">
        <v>1396.61</v>
      </c>
      <c r="L85" s="24">
        <v>13.5</v>
      </c>
      <c r="M85" s="1">
        <v>62.34</v>
      </c>
      <c r="N85" s="1">
        <v>19.2</v>
      </c>
      <c r="O85" s="28">
        <v>0.75958985090255737</v>
      </c>
    </row>
    <row r="86" spans="1:15" x14ac:dyDescent="0.2">
      <c r="A86" s="21" t="s">
        <v>97</v>
      </c>
      <c r="B86" s="2">
        <v>82.6</v>
      </c>
      <c r="C86" s="1">
        <f t="shared" si="77"/>
        <v>111.80528527519854</v>
      </c>
      <c r="D86" s="2">
        <v>66.7</v>
      </c>
      <c r="E86" s="1">
        <f t="shared" si="78"/>
        <v>95.754955332996602</v>
      </c>
      <c r="F86" s="3">
        <v>88.1</v>
      </c>
      <c r="G86" s="1">
        <f t="shared" si="79"/>
        <v>100.69335697747589</v>
      </c>
      <c r="H86" s="2">
        <v>103.9</v>
      </c>
      <c r="I86" s="2">
        <f t="shared" si="76"/>
        <v>115.6712098057902</v>
      </c>
      <c r="J86" s="4">
        <v>68.930000000000007</v>
      </c>
      <c r="K86" s="5">
        <v>1647.69</v>
      </c>
      <c r="L86" s="24">
        <v>17</v>
      </c>
      <c r="M86" s="1">
        <v>47.76</v>
      </c>
      <c r="N86" s="1">
        <v>20.97</v>
      </c>
      <c r="O86" s="28">
        <v>0.6452445387840271</v>
      </c>
    </row>
    <row r="87" spans="1:15" x14ac:dyDescent="0.2">
      <c r="A87" s="21" t="s">
        <v>98</v>
      </c>
      <c r="B87" s="2">
        <v>97.2</v>
      </c>
      <c r="C87" s="1">
        <f t="shared" si="77"/>
        <v>108.67473728749299</v>
      </c>
      <c r="D87" s="2">
        <v>96.3</v>
      </c>
      <c r="E87" s="1">
        <f t="shared" si="78"/>
        <v>92.212021985675733</v>
      </c>
      <c r="F87" s="6">
        <v>100.3</v>
      </c>
      <c r="G87" s="1">
        <f t="shared" si="79"/>
        <v>100.99543704840831</v>
      </c>
      <c r="H87" s="2">
        <v>102.2</v>
      </c>
      <c r="I87" s="2">
        <f t="shared" si="76"/>
        <v>118.2159764215176</v>
      </c>
      <c r="J87" s="4">
        <v>61.27</v>
      </c>
      <c r="K87" s="5">
        <v>1758.97</v>
      </c>
      <c r="L87" s="24">
        <v>15.071400000000001</v>
      </c>
      <c r="M87" s="1">
        <v>58.1</v>
      </c>
      <c r="N87" s="1">
        <v>13.34</v>
      </c>
      <c r="O87" s="28">
        <v>1.2874335050582886</v>
      </c>
    </row>
    <row r="88" spans="1:15" x14ac:dyDescent="0.2">
      <c r="A88" s="21" t="s">
        <v>99</v>
      </c>
      <c r="B88" s="2">
        <v>110.9</v>
      </c>
      <c r="C88" s="1">
        <f t="shared" si="77"/>
        <v>120.52028365182973</v>
      </c>
      <c r="D88" s="2">
        <v>106.8</v>
      </c>
      <c r="E88" s="1">
        <f t="shared" si="78"/>
        <v>98.482439480701686</v>
      </c>
      <c r="F88" s="2">
        <v>103.8</v>
      </c>
      <c r="G88" s="1">
        <f t="shared" si="79"/>
        <v>104.83326365624782</v>
      </c>
      <c r="H88" s="2">
        <v>101.2</v>
      </c>
      <c r="I88" s="2">
        <f t="shared" si="76"/>
        <v>119.63456813857582</v>
      </c>
      <c r="J88" s="4">
        <v>58.46</v>
      </c>
      <c r="K88" s="5">
        <v>1626.18</v>
      </c>
      <c r="L88" s="24">
        <v>14.4839</v>
      </c>
      <c r="M88" s="1">
        <v>55.89</v>
      </c>
      <c r="N88" s="1">
        <v>15.29</v>
      </c>
      <c r="O88" s="28">
        <v>0.8876459002494812</v>
      </c>
    </row>
    <row r="89" spans="1:15" x14ac:dyDescent="0.2">
      <c r="A89" s="21" t="s">
        <v>100</v>
      </c>
      <c r="B89" s="2">
        <v>95.3</v>
      </c>
      <c r="C89" s="1">
        <f t="shared" si="77"/>
        <v>114.85583032019373</v>
      </c>
      <c r="D89" s="2">
        <v>97.6</v>
      </c>
      <c r="E89" s="1">
        <f t="shared" si="78"/>
        <v>96.118860933164839</v>
      </c>
      <c r="F89" s="2">
        <v>98.6</v>
      </c>
      <c r="G89" s="1">
        <f t="shared" si="79"/>
        <v>103.36559796506035</v>
      </c>
      <c r="H89" s="2">
        <v>100.5</v>
      </c>
      <c r="I89" s="2">
        <f t="shared" si="76"/>
        <v>120.2327409792687</v>
      </c>
      <c r="J89" s="4">
        <v>51.7</v>
      </c>
      <c r="K89" s="5">
        <v>1688.34</v>
      </c>
      <c r="L89" s="24">
        <v>14</v>
      </c>
      <c r="M89" s="1">
        <v>59.52</v>
      </c>
      <c r="N89" s="1">
        <v>14.55</v>
      </c>
      <c r="O89" s="28">
        <v>0.8314436674118042</v>
      </c>
    </row>
    <row r="90" spans="1:15" x14ac:dyDescent="0.2">
      <c r="A90" s="21" t="s">
        <v>101</v>
      </c>
      <c r="B90" s="2">
        <v>98.9</v>
      </c>
      <c r="C90" s="1">
        <f t="shared" si="77"/>
        <v>113.5924161866716</v>
      </c>
      <c r="D90" s="2">
        <v>102.2</v>
      </c>
      <c r="E90" s="1">
        <f t="shared" si="78"/>
        <v>98.233475873694459</v>
      </c>
      <c r="F90" s="2">
        <v>96.8</v>
      </c>
      <c r="G90" s="1">
        <f t="shared" si="79"/>
        <v>100.05789883017842</v>
      </c>
      <c r="H90" s="2">
        <v>100.4</v>
      </c>
      <c r="I90" s="2">
        <f t="shared" si="76"/>
        <v>120.71367194318579</v>
      </c>
      <c r="J90" s="4">
        <v>52.97</v>
      </c>
      <c r="K90" s="5">
        <v>1609.19</v>
      </c>
      <c r="L90" s="24">
        <v>12.6935</v>
      </c>
      <c r="M90" s="1">
        <v>64.08</v>
      </c>
      <c r="N90" s="1">
        <v>13.84</v>
      </c>
      <c r="O90" s="28">
        <v>0.45997017621994019</v>
      </c>
    </row>
    <row r="91" spans="1:15" x14ac:dyDescent="0.2">
      <c r="A91" s="21" t="s">
        <v>102</v>
      </c>
      <c r="B91" s="2">
        <v>101.6</v>
      </c>
      <c r="C91" s="1">
        <f t="shared" si="77"/>
        <v>115.40989484565834</v>
      </c>
      <c r="D91" s="2">
        <v>100.4</v>
      </c>
      <c r="E91" s="1">
        <f t="shared" si="78"/>
        <v>98.626409777189238</v>
      </c>
      <c r="F91" s="2">
        <v>103.7</v>
      </c>
      <c r="G91" s="1">
        <f t="shared" si="79"/>
        <v>103.76004108689501</v>
      </c>
      <c r="H91" s="2">
        <v>100.2</v>
      </c>
      <c r="I91" s="2">
        <f t="shared" si="76"/>
        <v>120.95509928707216</v>
      </c>
      <c r="J91" s="4">
        <v>55.52</v>
      </c>
      <c r="K91" s="5">
        <v>1654.55</v>
      </c>
      <c r="L91" s="24">
        <v>12</v>
      </c>
      <c r="M91" s="1">
        <v>61.48</v>
      </c>
      <c r="N91" s="1">
        <v>18.23</v>
      </c>
      <c r="O91" s="28">
        <v>0.75236737728118896</v>
      </c>
    </row>
    <row r="92" spans="1:15" x14ac:dyDescent="0.2">
      <c r="A92" s="21" t="s">
        <v>103</v>
      </c>
      <c r="B92" s="2">
        <v>101.3</v>
      </c>
      <c r="C92" s="1">
        <f t="shared" si="77"/>
        <v>116.9102234786519</v>
      </c>
      <c r="D92" s="2">
        <v>103.2</v>
      </c>
      <c r="E92" s="1">
        <f t="shared" si="78"/>
        <v>101.78245489005928</v>
      </c>
      <c r="F92" s="2">
        <v>100.2</v>
      </c>
      <c r="G92" s="1">
        <f t="shared" si="79"/>
        <v>103.96756116906882</v>
      </c>
      <c r="H92" s="2">
        <v>100.8</v>
      </c>
      <c r="I92" s="2">
        <f t="shared" si="76"/>
        <v>121.92274008136874</v>
      </c>
      <c r="J92" s="4">
        <v>58.99</v>
      </c>
      <c r="K92" s="5">
        <v>1669</v>
      </c>
      <c r="L92" s="24">
        <v>11.5</v>
      </c>
      <c r="M92" s="1">
        <v>56.56</v>
      </c>
      <c r="N92" s="1">
        <v>12.12</v>
      </c>
      <c r="O92" s="28">
        <v>0.94662106037139893</v>
      </c>
    </row>
    <row r="93" spans="1:15" x14ac:dyDescent="0.2">
      <c r="A93" s="21" t="s">
        <v>104</v>
      </c>
      <c r="B93" s="2">
        <v>100.5</v>
      </c>
      <c r="C93" s="1">
        <f t="shared" si="77"/>
        <v>117.49477459604515</v>
      </c>
      <c r="D93" s="2">
        <v>103.1</v>
      </c>
      <c r="E93" s="1">
        <f t="shared" si="78"/>
        <v>104.93771099165112</v>
      </c>
      <c r="F93" s="2">
        <v>99.9</v>
      </c>
      <c r="G93" s="1">
        <f t="shared" si="79"/>
        <v>103.86359360789974</v>
      </c>
      <c r="H93" s="2">
        <v>100.4</v>
      </c>
      <c r="I93" s="2">
        <f t="shared" si="76"/>
        <v>122.41043104169422</v>
      </c>
      <c r="J93" s="4">
        <v>66.48</v>
      </c>
      <c r="K93" s="5">
        <v>1733.17</v>
      </c>
      <c r="L93" s="24">
        <v>11.032299999999999</v>
      </c>
      <c r="M93" s="1">
        <v>46.52</v>
      </c>
      <c r="N93" s="1">
        <v>28.43</v>
      </c>
      <c r="O93" s="28">
        <v>0.78404402732849121</v>
      </c>
    </row>
    <row r="94" spans="1:15" x14ac:dyDescent="0.2">
      <c r="A94" s="21" t="s">
        <v>105</v>
      </c>
      <c r="B94" s="2">
        <v>101</v>
      </c>
      <c r="C94" s="1">
        <f t="shared" si="77"/>
        <v>118.66972234200561</v>
      </c>
      <c r="D94" s="2">
        <v>97</v>
      </c>
      <c r="E94" s="1">
        <f t="shared" si="78"/>
        <v>101.78957966190158</v>
      </c>
      <c r="F94" s="2">
        <v>100.8</v>
      </c>
      <c r="G94" s="1">
        <f t="shared" si="79"/>
        <v>104.69450235676294</v>
      </c>
      <c r="H94" s="2">
        <v>100.6</v>
      </c>
      <c r="I94" s="2">
        <f t="shared" si="76"/>
        <v>123.14489362794438</v>
      </c>
      <c r="J94" s="4">
        <v>66.239999999999995</v>
      </c>
      <c r="K94" s="5">
        <v>1642.97</v>
      </c>
      <c r="L94" s="24">
        <v>11</v>
      </c>
      <c r="M94" s="1">
        <v>47.62</v>
      </c>
      <c r="N94" s="1">
        <v>24.5</v>
      </c>
      <c r="O94" s="28">
        <v>1.1398277282714844</v>
      </c>
    </row>
    <row r="95" spans="1:15" x14ac:dyDescent="0.2">
      <c r="A95" s="21" t="s">
        <v>106</v>
      </c>
      <c r="B95" s="2">
        <v>105.2</v>
      </c>
      <c r="C95" s="1">
        <f t="shared" si="77"/>
        <v>124.8405479037899</v>
      </c>
      <c r="D95" s="2">
        <v>101.6</v>
      </c>
      <c r="E95" s="1">
        <f t="shared" si="78"/>
        <v>103.418212936492</v>
      </c>
      <c r="F95" s="2">
        <v>100.8</v>
      </c>
      <c r="G95" s="1">
        <f t="shared" si="79"/>
        <v>105.53205837561704</v>
      </c>
      <c r="H95" s="2">
        <v>100.7</v>
      </c>
      <c r="I95" s="2">
        <f t="shared" si="76"/>
        <v>124.00690788333999</v>
      </c>
      <c r="J95" s="4">
        <v>64.37</v>
      </c>
      <c r="K95" s="5">
        <v>1711.53</v>
      </c>
      <c r="L95" s="24">
        <v>11</v>
      </c>
      <c r="M95" s="1">
        <v>48.43</v>
      </c>
      <c r="N95" s="1">
        <v>15.07</v>
      </c>
      <c r="O95" s="28">
        <v>1.425786018371582</v>
      </c>
    </row>
    <row r="96" spans="1:15" x14ac:dyDescent="0.2">
      <c r="A96" s="21" t="s">
        <v>107</v>
      </c>
      <c r="B96" s="2">
        <v>99.5</v>
      </c>
      <c r="C96" s="1">
        <f t="shared" si="77"/>
        <v>124.21634516427095</v>
      </c>
      <c r="D96" s="2">
        <v>99</v>
      </c>
      <c r="E96" s="1">
        <f t="shared" si="78"/>
        <v>102.38403080712708</v>
      </c>
      <c r="F96" s="2">
        <v>99.8</v>
      </c>
      <c r="G96" s="1">
        <f t="shared" si="79"/>
        <v>105.32099425886581</v>
      </c>
      <c r="H96" s="2">
        <v>100.8</v>
      </c>
      <c r="I96" s="2">
        <f t="shared" si="76"/>
        <v>124.99896314640671</v>
      </c>
      <c r="J96" s="4">
        <v>66.239999999999995</v>
      </c>
      <c r="K96" s="5">
        <v>1771.05</v>
      </c>
      <c r="L96" s="24">
        <v>11</v>
      </c>
      <c r="M96" s="1">
        <v>44.27</v>
      </c>
      <c r="N96" s="1">
        <v>16.13</v>
      </c>
      <c r="O96" s="28">
        <v>1.5115667581558228</v>
      </c>
    </row>
    <row r="97" spans="1:15" x14ac:dyDescent="0.2">
      <c r="A97" s="21" t="s">
        <v>108</v>
      </c>
      <c r="B97" s="2">
        <v>107.9</v>
      </c>
      <c r="C97" s="1">
        <f t="shared" si="77"/>
        <v>134.02943643224836</v>
      </c>
      <c r="D97" s="2">
        <v>120.5</v>
      </c>
      <c r="E97" s="1">
        <f t="shared" si="78"/>
        <v>123.37275712258811</v>
      </c>
      <c r="F97" s="2">
        <v>106.1</v>
      </c>
      <c r="G97" s="1">
        <f t="shared" si="79"/>
        <v>111.74557490865662</v>
      </c>
      <c r="H97" s="2">
        <v>100.8</v>
      </c>
      <c r="I97" s="2">
        <f t="shared" si="76"/>
        <v>125.99895485157796</v>
      </c>
      <c r="J97" s="4">
        <v>72.88</v>
      </c>
      <c r="K97" s="5">
        <v>1761.36</v>
      </c>
      <c r="L97" s="24">
        <v>11</v>
      </c>
      <c r="M97" s="1">
        <v>38.01</v>
      </c>
      <c r="N97" s="1">
        <v>18.21</v>
      </c>
      <c r="O97" s="28">
        <v>0.9548492431640625</v>
      </c>
    </row>
    <row r="98" spans="1:15" x14ac:dyDescent="0.2">
      <c r="A98" s="21" t="s">
        <v>109</v>
      </c>
      <c r="B98" s="2">
        <v>82.7</v>
      </c>
      <c r="C98" s="1">
        <f t="shared" si="77"/>
        <v>110.84234392946939</v>
      </c>
      <c r="D98" s="2">
        <v>72.900000000000006</v>
      </c>
      <c r="E98" s="1">
        <f t="shared" si="78"/>
        <v>89.938739942366738</v>
      </c>
      <c r="F98" s="3">
        <v>87.5</v>
      </c>
      <c r="G98" s="1">
        <f t="shared" si="79"/>
        <v>97.777378045074542</v>
      </c>
      <c r="H98" s="2">
        <v>101</v>
      </c>
      <c r="I98" s="2">
        <f t="shared" si="76"/>
        <v>127.25894440009375</v>
      </c>
      <c r="J98" s="4">
        <v>75.17</v>
      </c>
      <c r="K98" s="5">
        <v>1784.92</v>
      </c>
      <c r="L98" s="24">
        <v>11</v>
      </c>
      <c r="M98" s="1">
        <v>30.7</v>
      </c>
      <c r="N98" s="1">
        <v>20.2</v>
      </c>
      <c r="O98" s="28">
        <v>0.7169913649559021</v>
      </c>
    </row>
    <row r="99" spans="1:15" x14ac:dyDescent="0.2">
      <c r="A99" s="21" t="s">
        <v>110</v>
      </c>
      <c r="B99" s="2">
        <v>100.1</v>
      </c>
      <c r="C99" s="1">
        <f t="shared" si="77"/>
        <v>110.95318627339886</v>
      </c>
      <c r="D99" s="2">
        <v>98.9</v>
      </c>
      <c r="E99" s="1">
        <f t="shared" si="78"/>
        <v>88.949413803000709</v>
      </c>
      <c r="F99" s="6">
        <v>104.1</v>
      </c>
      <c r="G99" s="1">
        <f t="shared" si="79"/>
        <v>101.78625054492258</v>
      </c>
      <c r="H99" s="2">
        <v>100.6</v>
      </c>
      <c r="I99" s="2">
        <f t="shared" si="76"/>
        <v>128.02249806649431</v>
      </c>
      <c r="J99" s="4">
        <v>75.09</v>
      </c>
      <c r="K99" s="5">
        <v>1840.17</v>
      </c>
      <c r="L99" s="24">
        <v>11</v>
      </c>
      <c r="M99" s="1">
        <v>32.18</v>
      </c>
      <c r="N99" s="1">
        <v>20.55</v>
      </c>
      <c r="O99" s="28">
        <v>1.3055953979492188</v>
      </c>
    </row>
    <row r="100" spans="1:15" x14ac:dyDescent="0.2">
      <c r="A100" s="21" t="s">
        <v>111</v>
      </c>
      <c r="B100" s="2">
        <v>109.7</v>
      </c>
      <c r="C100" s="1">
        <f t="shared" si="77"/>
        <v>121.71564534191856</v>
      </c>
      <c r="D100" s="2">
        <v>105.3</v>
      </c>
      <c r="E100" s="1">
        <f t="shared" si="78"/>
        <v>93.663732734559744</v>
      </c>
      <c r="F100" s="2">
        <v>102.5</v>
      </c>
      <c r="G100" s="1">
        <f t="shared" si="79"/>
        <v>104.33090680854565</v>
      </c>
      <c r="H100" s="2">
        <v>100.5</v>
      </c>
      <c r="I100" s="2">
        <f t="shared" si="76"/>
        <v>128.66261055682679</v>
      </c>
      <c r="J100" s="4">
        <v>67.61</v>
      </c>
      <c r="K100" s="5">
        <v>1871.15</v>
      </c>
      <c r="L100" s="24">
        <v>11</v>
      </c>
      <c r="M100" s="1">
        <v>38.21</v>
      </c>
      <c r="N100" s="1">
        <v>13.95</v>
      </c>
      <c r="O100" s="28">
        <v>0.86956518888473511</v>
      </c>
    </row>
    <row r="101" spans="1:15" x14ac:dyDescent="0.2">
      <c r="A101" s="21" t="s">
        <v>112</v>
      </c>
      <c r="B101" s="2">
        <v>94.3</v>
      </c>
      <c r="C101" s="1">
        <f t="shared" si="77"/>
        <v>114.77785355742921</v>
      </c>
      <c r="D101" s="2">
        <v>98.3</v>
      </c>
      <c r="E101" s="1">
        <f t="shared" si="78"/>
        <v>92.071449278072237</v>
      </c>
      <c r="F101" s="2">
        <v>99.2</v>
      </c>
      <c r="G101" s="1">
        <f t="shared" si="79"/>
        <v>103.49625955407728</v>
      </c>
      <c r="H101" s="2">
        <v>100.4</v>
      </c>
      <c r="I101" s="2">
        <f t="shared" si="76"/>
        <v>129.17726099905411</v>
      </c>
      <c r="J101" s="4">
        <v>64.33</v>
      </c>
      <c r="K101" s="5">
        <v>1953.05</v>
      </c>
      <c r="L101" s="24">
        <v>11</v>
      </c>
      <c r="M101" s="1">
        <v>41.58</v>
      </c>
      <c r="N101" s="1">
        <v>15.7</v>
      </c>
      <c r="O101" s="28">
        <v>0.94220221042633057</v>
      </c>
    </row>
    <row r="102" spans="1:15" x14ac:dyDescent="0.2">
      <c r="A102" s="21" t="s">
        <v>113</v>
      </c>
      <c r="B102" s="2">
        <v>99.5</v>
      </c>
      <c r="C102" s="1">
        <f t="shared" si="77"/>
        <v>114.20396428964206</v>
      </c>
      <c r="D102" s="2">
        <v>101.1</v>
      </c>
      <c r="E102" s="1">
        <f t="shared" si="78"/>
        <v>93.084235220131035</v>
      </c>
      <c r="F102" s="2">
        <v>97.8</v>
      </c>
      <c r="G102" s="1">
        <f t="shared" si="79"/>
        <v>101.21934184388758</v>
      </c>
      <c r="H102" s="2">
        <v>100.4</v>
      </c>
      <c r="I102" s="2">
        <f t="shared" si="76"/>
        <v>129.69397004305034</v>
      </c>
      <c r="J102" s="4">
        <v>66.08</v>
      </c>
      <c r="K102" s="5">
        <v>1899.01</v>
      </c>
      <c r="L102" s="24">
        <v>11</v>
      </c>
      <c r="M102" s="1">
        <v>46.74</v>
      </c>
      <c r="N102" s="1">
        <v>14.19</v>
      </c>
      <c r="O102" s="28">
        <v>0.71551233530044556</v>
      </c>
    </row>
    <row r="103" spans="1:15" x14ac:dyDescent="0.2">
      <c r="A103" s="21" t="s">
        <v>114</v>
      </c>
      <c r="B103" s="2">
        <v>102.3</v>
      </c>
      <c r="C103" s="1">
        <f t="shared" si="77"/>
        <v>116.83065546830383</v>
      </c>
      <c r="D103" s="2">
        <v>100.7</v>
      </c>
      <c r="E103" s="1">
        <f t="shared" si="78"/>
        <v>93.735824866671962</v>
      </c>
      <c r="F103" s="2">
        <v>101.5</v>
      </c>
      <c r="G103" s="1">
        <f t="shared" si="79"/>
        <v>102.73763197154589</v>
      </c>
      <c r="H103" s="2">
        <v>100.4</v>
      </c>
      <c r="I103" s="2">
        <f t="shared" si="76"/>
        <v>130.21274592322254</v>
      </c>
      <c r="J103" s="4">
        <v>64.260000000000005</v>
      </c>
      <c r="K103" s="5">
        <v>1891.09</v>
      </c>
      <c r="L103" s="24">
        <v>10.716699999999999</v>
      </c>
      <c r="M103" s="1">
        <v>48.25</v>
      </c>
      <c r="N103" s="1">
        <v>15.63</v>
      </c>
      <c r="O103" s="28">
        <v>0.62729495763778687</v>
      </c>
    </row>
    <row r="104" spans="1:15" x14ac:dyDescent="0.2">
      <c r="A104" s="21" t="s">
        <v>115</v>
      </c>
      <c r="B104" s="2">
        <v>100.5</v>
      </c>
      <c r="C104" s="1">
        <f t="shared" si="77"/>
        <v>117.41480874564535</v>
      </c>
      <c r="D104" s="2">
        <v>102.2</v>
      </c>
      <c r="E104" s="1">
        <f t="shared" si="78"/>
        <v>95.798013013738739</v>
      </c>
      <c r="F104" s="2">
        <v>100.5</v>
      </c>
      <c r="G104" s="1">
        <f t="shared" si="79"/>
        <v>103.25132013140363</v>
      </c>
      <c r="H104" s="2">
        <v>100.5</v>
      </c>
      <c r="I104" s="2">
        <f t="shared" si="76"/>
        <v>130.86380965283865</v>
      </c>
      <c r="J104" s="4">
        <v>67.05</v>
      </c>
      <c r="K104" s="5">
        <v>1944.62</v>
      </c>
      <c r="L104" s="24">
        <v>10.5</v>
      </c>
      <c r="M104" s="1">
        <v>44.95</v>
      </c>
      <c r="N104" s="1">
        <v>11.87</v>
      </c>
      <c r="O104" s="28">
        <v>0.80858772993087769</v>
      </c>
    </row>
    <row r="105" spans="1:15" x14ac:dyDescent="0.2">
      <c r="A105" s="21" t="s">
        <v>116</v>
      </c>
      <c r="B105" s="2">
        <v>102.3</v>
      </c>
      <c r="C105" s="1">
        <f t="shared" si="77"/>
        <v>120.1153493467952</v>
      </c>
      <c r="D105" s="2">
        <v>105.8</v>
      </c>
      <c r="E105" s="1">
        <f t="shared" si="78"/>
        <v>101.35429776853557</v>
      </c>
      <c r="F105" s="2">
        <v>102.9</v>
      </c>
      <c r="G105" s="1">
        <f t="shared" si="79"/>
        <v>106.24560841521433</v>
      </c>
      <c r="H105" s="2">
        <v>100</v>
      </c>
      <c r="I105" s="2">
        <f t="shared" si="76"/>
        <v>130.86380965283865</v>
      </c>
      <c r="J105" s="4">
        <v>64.91</v>
      </c>
      <c r="K105" s="5">
        <v>1971.59</v>
      </c>
      <c r="L105" s="24">
        <v>10.5</v>
      </c>
      <c r="M105" s="1">
        <v>45.84</v>
      </c>
      <c r="N105" s="1">
        <v>13.42</v>
      </c>
      <c r="O105" s="28">
        <v>1.0123567581176758</v>
      </c>
    </row>
    <row r="106" spans="1:15" x14ac:dyDescent="0.2">
      <c r="A106" s="21" t="s">
        <v>117</v>
      </c>
      <c r="B106" s="2">
        <v>101.3</v>
      </c>
      <c r="C106" s="1">
        <f t="shared" si="77"/>
        <v>121.67684888830354</v>
      </c>
      <c r="D106" s="2">
        <v>96.9</v>
      </c>
      <c r="E106" s="1">
        <f t="shared" si="78"/>
        <v>98.212314537710967</v>
      </c>
      <c r="F106" s="2">
        <v>98.4</v>
      </c>
      <c r="G106" s="1">
        <f t="shared" si="79"/>
        <v>104.54567868057092</v>
      </c>
      <c r="H106" s="2">
        <v>100.2</v>
      </c>
      <c r="I106" s="2">
        <f t="shared" si="76"/>
        <v>131.12553727214433</v>
      </c>
      <c r="J106" s="4">
        <v>63.16</v>
      </c>
      <c r="K106" s="5">
        <v>1978</v>
      </c>
      <c r="L106" s="24">
        <v>10.3</v>
      </c>
      <c r="M106" s="1">
        <v>46.57</v>
      </c>
      <c r="N106" s="1">
        <v>13.29</v>
      </c>
      <c r="O106" s="28">
        <v>1.2862191200256348</v>
      </c>
    </row>
    <row r="107" spans="1:15" x14ac:dyDescent="0.2">
      <c r="A107" s="21" t="s">
        <v>118</v>
      </c>
      <c r="B107" s="2">
        <v>105.8</v>
      </c>
      <c r="C107" s="1">
        <f t="shared" si="77"/>
        <v>128.73410612382514</v>
      </c>
      <c r="D107" s="2">
        <v>100.4</v>
      </c>
      <c r="E107" s="1">
        <f t="shared" si="78"/>
        <v>98.605163795861813</v>
      </c>
      <c r="F107" s="2">
        <v>100.5</v>
      </c>
      <c r="G107" s="1">
        <f t="shared" si="79"/>
        <v>105.06840707397377</v>
      </c>
      <c r="H107" s="2">
        <v>100.4</v>
      </c>
      <c r="I107" s="2">
        <f t="shared" si="76"/>
        <v>131.65003942123292</v>
      </c>
      <c r="J107" s="4">
        <v>62.9</v>
      </c>
      <c r="K107" s="5">
        <v>1989.64</v>
      </c>
      <c r="L107" s="24">
        <v>10</v>
      </c>
      <c r="M107" s="1">
        <v>49.52</v>
      </c>
      <c r="N107" s="1">
        <v>17.059999999999999</v>
      </c>
      <c r="O107" s="28">
        <v>0.96127808094024658</v>
      </c>
    </row>
    <row r="108" spans="1:15" x14ac:dyDescent="0.2">
      <c r="A108" s="21" t="s">
        <v>119</v>
      </c>
      <c r="B108" s="2">
        <v>101.6</v>
      </c>
      <c r="C108" s="1">
        <f t="shared" si="77"/>
        <v>130.79385182180633</v>
      </c>
      <c r="D108" s="2">
        <v>99</v>
      </c>
      <c r="E108" s="1">
        <f t="shared" si="78"/>
        <v>97.619112157903203</v>
      </c>
      <c r="F108" s="2">
        <v>102.3</v>
      </c>
      <c r="G108" s="1">
        <f t="shared" si="79"/>
        <v>107.48498043667516</v>
      </c>
      <c r="H108" s="2">
        <v>100.4</v>
      </c>
      <c r="I108" s="2">
        <f t="shared" si="76"/>
        <v>132.17663957891784</v>
      </c>
      <c r="J108" s="4">
        <v>64.94</v>
      </c>
      <c r="K108" s="5">
        <v>2104.91</v>
      </c>
      <c r="L108" s="24">
        <v>10</v>
      </c>
      <c r="M108" s="1">
        <v>44.73</v>
      </c>
      <c r="N108" s="1">
        <v>13.33</v>
      </c>
      <c r="O108" s="28">
        <v>1.0885133743286133</v>
      </c>
    </row>
    <row r="109" spans="1:15" x14ac:dyDescent="0.2">
      <c r="A109" s="21" t="s">
        <v>120</v>
      </c>
      <c r="B109" s="2">
        <v>106.6</v>
      </c>
      <c r="C109" s="1">
        <f t="shared" si="77"/>
        <v>139.42624604204553</v>
      </c>
      <c r="D109" s="2">
        <v>119.3</v>
      </c>
      <c r="E109" s="1">
        <f t="shared" si="78"/>
        <v>116.45960080437851</v>
      </c>
      <c r="F109" s="2">
        <v>104.2</v>
      </c>
      <c r="G109" s="1">
        <f t="shared" si="79"/>
        <v>111.99934961501553</v>
      </c>
      <c r="H109" s="2">
        <v>100.4</v>
      </c>
      <c r="I109" s="2">
        <f t="shared" si="76"/>
        <v>132.70534613723351</v>
      </c>
      <c r="J109" s="4">
        <v>60.66</v>
      </c>
      <c r="K109" s="5">
        <v>2232.7199999999998</v>
      </c>
      <c r="L109" s="24">
        <v>10</v>
      </c>
      <c r="M109" s="1">
        <v>53.31</v>
      </c>
      <c r="N109" s="1">
        <v>14.04</v>
      </c>
      <c r="O109" s="28">
        <v>1.3380782604217529</v>
      </c>
    </row>
    <row r="110" spans="1:15" x14ac:dyDescent="0.2">
      <c r="A110" s="21" t="s">
        <v>121</v>
      </c>
      <c r="B110" s="2">
        <v>84.9</v>
      </c>
      <c r="C110" s="1">
        <f t="shared" si="77"/>
        <v>118.37288288969667</v>
      </c>
      <c r="D110" s="2">
        <v>75.7</v>
      </c>
      <c r="E110" s="1">
        <f t="shared" si="78"/>
        <v>88.159917808914543</v>
      </c>
      <c r="F110" s="3">
        <v>89.9</v>
      </c>
      <c r="G110" s="1">
        <f t="shared" si="79"/>
        <v>100.68741530389897</v>
      </c>
      <c r="H110" s="2">
        <v>100.6</v>
      </c>
      <c r="I110" s="2">
        <f t="shared" si="76"/>
        <v>133.50157821405691</v>
      </c>
      <c r="J110" s="4">
        <v>60.16</v>
      </c>
      <c r="K110" s="5">
        <v>2217.39</v>
      </c>
      <c r="L110" s="24">
        <v>10</v>
      </c>
      <c r="M110" s="1">
        <v>54.58</v>
      </c>
      <c r="N110" s="1">
        <v>11.99</v>
      </c>
      <c r="O110" s="28">
        <v>1.4935065507888794</v>
      </c>
    </row>
    <row r="111" spans="1:15" x14ac:dyDescent="0.2">
      <c r="A111" s="21" t="s">
        <v>122</v>
      </c>
      <c r="B111" s="2">
        <v>95.4</v>
      </c>
      <c r="C111" s="1">
        <f t="shared" si="77"/>
        <v>112.92773027677063</v>
      </c>
      <c r="D111" s="2">
        <v>98.1</v>
      </c>
      <c r="E111" s="1">
        <f t="shared" si="78"/>
        <v>86.484879370545173</v>
      </c>
      <c r="F111" s="6">
        <v>99.2</v>
      </c>
      <c r="G111" s="1">
        <f t="shared" si="79"/>
        <v>99.881915981467785</v>
      </c>
      <c r="H111" s="2">
        <v>100.2</v>
      </c>
      <c r="I111" s="2">
        <f t="shared" si="76"/>
        <v>133.76858137048504</v>
      </c>
      <c r="J111" s="4">
        <v>57.94</v>
      </c>
      <c r="K111" s="5">
        <v>2035.77</v>
      </c>
      <c r="L111" s="24">
        <v>10</v>
      </c>
      <c r="M111" s="1">
        <v>54.87</v>
      </c>
      <c r="N111" s="1">
        <v>12.92</v>
      </c>
      <c r="O111" s="28">
        <v>1.291375994682312</v>
      </c>
    </row>
    <row r="112" spans="1:15" x14ac:dyDescent="0.2">
      <c r="A112" s="21" t="s">
        <v>123</v>
      </c>
      <c r="B112" s="2">
        <v>111.8</v>
      </c>
      <c r="C112" s="1">
        <f t="shared" si="77"/>
        <v>126.25320244942955</v>
      </c>
      <c r="D112" s="2">
        <v>108.3</v>
      </c>
      <c r="E112" s="1">
        <f t="shared" si="78"/>
        <v>93.663124358300408</v>
      </c>
      <c r="F112" s="2">
        <v>104.9</v>
      </c>
      <c r="G112" s="1">
        <f t="shared" si="79"/>
        <v>104.77612986455972</v>
      </c>
      <c r="H112" s="2">
        <v>100.1</v>
      </c>
      <c r="I112" s="2">
        <f t="shared" si="76"/>
        <v>133.90234995185551</v>
      </c>
      <c r="J112" s="4">
        <v>56.38</v>
      </c>
      <c r="K112" s="5">
        <v>1995.9</v>
      </c>
      <c r="L112" s="24">
        <v>9.9596999999999998</v>
      </c>
      <c r="M112" s="1">
        <v>51.59</v>
      </c>
      <c r="N112" s="1">
        <v>12.37</v>
      </c>
      <c r="O112" s="28">
        <v>0.82406800985336304</v>
      </c>
    </row>
    <row r="113" spans="1:15" x14ac:dyDescent="0.2">
      <c r="A113" s="21" t="s">
        <v>124</v>
      </c>
      <c r="B113" s="2">
        <v>95</v>
      </c>
      <c r="C113" s="1">
        <f t="shared" si="77"/>
        <v>119.94054232695808</v>
      </c>
      <c r="D113" s="2">
        <v>98.7</v>
      </c>
      <c r="E113" s="1">
        <f t="shared" si="78"/>
        <v>92.445503741642497</v>
      </c>
      <c r="F113" s="2">
        <v>98.4</v>
      </c>
      <c r="G113" s="1">
        <f t="shared" si="79"/>
        <v>103.09971178672677</v>
      </c>
      <c r="H113" s="2">
        <v>100.3</v>
      </c>
      <c r="I113" s="2">
        <f t="shared" si="76"/>
        <v>134.30405700171107</v>
      </c>
      <c r="J113" s="4">
        <v>56.98</v>
      </c>
      <c r="K113" s="5">
        <v>2016.71</v>
      </c>
      <c r="L113" s="24">
        <v>9.75</v>
      </c>
      <c r="M113" s="1">
        <v>52.31</v>
      </c>
      <c r="N113" s="1">
        <v>10.82</v>
      </c>
      <c r="O113" s="28">
        <v>1.4258294105529785</v>
      </c>
    </row>
    <row r="114" spans="1:15" x14ac:dyDescent="0.2">
      <c r="A114" s="21" t="s">
        <v>125</v>
      </c>
      <c r="B114" s="2">
        <v>101.3</v>
      </c>
      <c r="C114" s="1">
        <f t="shared" si="77"/>
        <v>121.49976937720854</v>
      </c>
      <c r="D114" s="2">
        <v>101.9</v>
      </c>
      <c r="E114" s="1">
        <f t="shared" si="78"/>
        <v>94.201968312733712</v>
      </c>
      <c r="F114" s="2">
        <v>99.5</v>
      </c>
      <c r="G114" s="1">
        <f t="shared" si="79"/>
        <v>102.58421322779313</v>
      </c>
      <c r="H114" s="2">
        <v>100.4</v>
      </c>
      <c r="I114" s="2">
        <f t="shared" si="76"/>
        <v>134.84127322971793</v>
      </c>
      <c r="J114" s="4">
        <v>56.52</v>
      </c>
      <c r="K114" s="5">
        <v>1900.38</v>
      </c>
      <c r="L114" s="24">
        <v>9.2660999999999998</v>
      </c>
      <c r="M114" s="1">
        <v>50.33</v>
      </c>
      <c r="N114" s="1">
        <v>10.41</v>
      </c>
      <c r="O114" s="28">
        <v>0.88531732559204102</v>
      </c>
    </row>
    <row r="115" spans="1:15" x14ac:dyDescent="0.2">
      <c r="A115" s="21" t="s">
        <v>126</v>
      </c>
      <c r="B115" s="2">
        <v>101.5</v>
      </c>
      <c r="C115" s="1">
        <f t="shared" si="77"/>
        <v>123.32226591786666</v>
      </c>
      <c r="D115" s="2">
        <v>101.1</v>
      </c>
      <c r="E115" s="1">
        <f t="shared" si="78"/>
        <v>95.238189964173785</v>
      </c>
      <c r="F115" s="2">
        <v>100.9</v>
      </c>
      <c r="G115" s="1">
        <f t="shared" si="79"/>
        <v>103.50747114684327</v>
      </c>
      <c r="H115" s="2">
        <v>100.6</v>
      </c>
      <c r="I115" s="2">
        <f t="shared" si="76"/>
        <v>135.65032086909622</v>
      </c>
      <c r="J115" s="4">
        <v>59.09</v>
      </c>
      <c r="K115" s="5">
        <v>1879.5</v>
      </c>
      <c r="L115" s="24">
        <v>9.15</v>
      </c>
      <c r="M115" s="1">
        <v>46.37</v>
      </c>
      <c r="N115" s="1">
        <v>11.18</v>
      </c>
      <c r="O115" s="28">
        <v>1.0204081535339355</v>
      </c>
    </row>
    <row r="116" spans="1:15" x14ac:dyDescent="0.2">
      <c r="A116" s="21" t="s">
        <v>127</v>
      </c>
      <c r="B116" s="2">
        <v>99.6</v>
      </c>
      <c r="C116" s="1">
        <f t="shared" si="77"/>
        <v>122.82897685419519</v>
      </c>
      <c r="D116" s="2">
        <v>103.4</v>
      </c>
      <c r="E116" s="1">
        <f t="shared" si="78"/>
        <v>98.47628842295569</v>
      </c>
      <c r="F116" s="2">
        <v>100.9</v>
      </c>
      <c r="G116" s="1">
        <f t="shared" si="79"/>
        <v>104.43903838716487</v>
      </c>
      <c r="H116" s="2">
        <v>100.1</v>
      </c>
      <c r="I116" s="2">
        <f t="shared" si="76"/>
        <v>135.78597118996532</v>
      </c>
      <c r="J116" s="4">
        <v>59.54</v>
      </c>
      <c r="K116" s="5">
        <v>1919.53</v>
      </c>
      <c r="L116" s="24">
        <v>9</v>
      </c>
      <c r="M116" s="1">
        <v>48.48</v>
      </c>
      <c r="N116" s="1">
        <v>10.26</v>
      </c>
      <c r="O116" s="28">
        <v>1.7198336124420166</v>
      </c>
    </row>
    <row r="117" spans="1:15" x14ac:dyDescent="0.2">
      <c r="A117" s="21" t="s">
        <v>128</v>
      </c>
      <c r="B117" s="2">
        <v>102.9</v>
      </c>
      <c r="C117" s="1">
        <f t="shared" si="77"/>
        <v>126.39101718296686</v>
      </c>
      <c r="D117" s="2">
        <v>103.5</v>
      </c>
      <c r="E117" s="1">
        <f t="shared" si="78"/>
        <v>101.92295851775914</v>
      </c>
      <c r="F117" s="2">
        <v>101.2</v>
      </c>
      <c r="G117" s="1">
        <f t="shared" si="79"/>
        <v>105.69230684781085</v>
      </c>
      <c r="H117" s="2">
        <v>99.5</v>
      </c>
      <c r="I117" s="2">
        <f t="shared" si="76"/>
        <v>135.10704133401549</v>
      </c>
      <c r="J117" s="4">
        <v>58.73</v>
      </c>
      <c r="K117" s="5">
        <v>2022.22</v>
      </c>
      <c r="L117" s="24">
        <v>9</v>
      </c>
      <c r="M117" s="1">
        <v>51.7</v>
      </c>
      <c r="N117" s="1">
        <v>10.59</v>
      </c>
      <c r="O117" s="28">
        <v>1.2072148323059082</v>
      </c>
    </row>
    <row r="118" spans="1:15" x14ac:dyDescent="0.2">
      <c r="A118" s="21" t="s">
        <v>129</v>
      </c>
      <c r="B118" s="2">
        <v>100.2</v>
      </c>
      <c r="C118" s="1">
        <f t="shared" si="77"/>
        <v>126.6437992173328</v>
      </c>
      <c r="D118" s="2">
        <v>99.5</v>
      </c>
      <c r="E118" s="1">
        <f t="shared" si="78"/>
        <v>101.41334372517035</v>
      </c>
      <c r="F118" s="2">
        <v>99.3</v>
      </c>
      <c r="G118" s="1">
        <f t="shared" si="79"/>
        <v>104.95246069987617</v>
      </c>
      <c r="H118" s="2">
        <v>99.9</v>
      </c>
      <c r="I118" s="2">
        <f t="shared" si="76"/>
        <v>134.97193429268148</v>
      </c>
      <c r="J118" s="4">
        <v>58.02</v>
      </c>
      <c r="K118" s="5">
        <v>2077.19</v>
      </c>
      <c r="L118" s="24">
        <v>8.7833000000000006</v>
      </c>
      <c r="M118" s="1">
        <v>56.15</v>
      </c>
      <c r="N118" s="1">
        <v>9.51</v>
      </c>
      <c r="O118" s="28">
        <v>1.5494309663772583</v>
      </c>
    </row>
    <row r="119" spans="1:15" x14ac:dyDescent="0.2">
      <c r="A119" s="21" t="s">
        <v>130</v>
      </c>
      <c r="B119" s="2">
        <v>104</v>
      </c>
      <c r="C119" s="1">
        <f t="shared" si="77"/>
        <v>131.70955118602612</v>
      </c>
      <c r="D119" s="2">
        <v>100.6</v>
      </c>
      <c r="E119" s="1">
        <f t="shared" si="78"/>
        <v>102.02182378752137</v>
      </c>
      <c r="F119" s="2">
        <v>101.4</v>
      </c>
      <c r="G119" s="1">
        <f t="shared" si="79"/>
        <v>106.42179514967444</v>
      </c>
      <c r="H119" s="2">
        <v>100.2</v>
      </c>
      <c r="I119" s="2">
        <f t="shared" si="76"/>
        <v>135.24187816126684</v>
      </c>
      <c r="J119" s="4">
        <v>57.87</v>
      </c>
      <c r="K119" s="5">
        <v>2064.31</v>
      </c>
      <c r="L119" s="24">
        <v>8.4839000000000002</v>
      </c>
      <c r="M119" s="1">
        <v>57.51</v>
      </c>
      <c r="N119" s="1">
        <v>10.18</v>
      </c>
      <c r="O119" s="28">
        <v>0.79957354068756104</v>
      </c>
    </row>
    <row r="120" spans="1:15" x14ac:dyDescent="0.2">
      <c r="A120" s="21" t="s">
        <v>131</v>
      </c>
      <c r="B120" s="2">
        <v>100.4</v>
      </c>
      <c r="C120" s="1">
        <f t="shared" si="77"/>
        <v>132.23638939077023</v>
      </c>
      <c r="D120" s="2">
        <v>98.8</v>
      </c>
      <c r="E120" s="1">
        <f t="shared" si="78"/>
        <v>100.7975619020711</v>
      </c>
      <c r="F120" s="2">
        <v>100.8</v>
      </c>
      <c r="G120" s="1">
        <f t="shared" si="79"/>
        <v>107.27316951087182</v>
      </c>
      <c r="H120" s="2">
        <v>100.2</v>
      </c>
      <c r="I120" s="2">
        <f t="shared" si="76"/>
        <v>135.51236191758937</v>
      </c>
      <c r="J120" s="4">
        <v>58.33</v>
      </c>
      <c r="K120" s="5">
        <v>2100.62</v>
      </c>
      <c r="L120" s="24">
        <v>8.25</v>
      </c>
      <c r="M120" s="1">
        <v>62.71</v>
      </c>
      <c r="N120" s="1">
        <v>11.28</v>
      </c>
      <c r="O120" s="28">
        <v>0.72836333513259888</v>
      </c>
    </row>
    <row r="121" spans="1:15" x14ac:dyDescent="0.2">
      <c r="A121" s="21" t="s">
        <v>132</v>
      </c>
      <c r="B121" s="2">
        <v>105.7</v>
      </c>
      <c r="C121" s="1">
        <f t="shared" si="77"/>
        <v>139.77386358604414</v>
      </c>
      <c r="D121" s="2">
        <v>119.5</v>
      </c>
      <c r="E121" s="1">
        <f t="shared" si="78"/>
        <v>120.45308647297496</v>
      </c>
      <c r="F121" s="2">
        <v>105.6</v>
      </c>
      <c r="G121" s="1">
        <f t="shared" si="79"/>
        <v>113.28046700348064</v>
      </c>
      <c r="H121" s="2">
        <v>100.4</v>
      </c>
      <c r="I121" s="2">
        <f t="shared" si="76"/>
        <v>136.05441136525974</v>
      </c>
      <c r="J121" s="4">
        <v>57.6</v>
      </c>
      <c r="K121" s="5">
        <v>2109.7399999999998</v>
      </c>
      <c r="L121" s="24">
        <v>8.0242000000000004</v>
      </c>
      <c r="M121" s="1">
        <v>64.37</v>
      </c>
      <c r="N121" s="1">
        <v>11.04</v>
      </c>
      <c r="O121" s="28">
        <v>0.87171292304992676</v>
      </c>
    </row>
    <row r="122" spans="1:15" x14ac:dyDescent="0.2">
      <c r="A122" s="21" t="s">
        <v>133</v>
      </c>
      <c r="B122" s="2">
        <v>86.9</v>
      </c>
      <c r="C122" s="1">
        <f t="shared" si="77"/>
        <v>121.46348745627236</v>
      </c>
      <c r="D122" s="8">
        <v>75.5</v>
      </c>
      <c r="E122" s="1">
        <f t="shared" si="78"/>
        <v>90.94208028709609</v>
      </c>
      <c r="F122" s="2">
        <v>92.7</v>
      </c>
      <c r="G122" s="1">
        <f t="shared" si="79"/>
        <v>105.01099291222656</v>
      </c>
      <c r="H122" s="8">
        <v>100.3</v>
      </c>
      <c r="I122" s="2">
        <f t="shared" si="76"/>
        <v>136.46257459935552</v>
      </c>
      <c r="J122" s="4">
        <v>56.29</v>
      </c>
      <c r="K122" s="5">
        <v>2289.9899999999998</v>
      </c>
      <c r="L122" s="24">
        <v>7.75</v>
      </c>
      <c r="M122" s="1">
        <v>69.08</v>
      </c>
      <c r="N122" s="1">
        <v>13.54</v>
      </c>
      <c r="O122" s="28">
        <v>1.0397830009460449</v>
      </c>
    </row>
    <row r="123" spans="1:15" x14ac:dyDescent="0.2">
      <c r="A123" s="21" t="s">
        <v>134</v>
      </c>
      <c r="B123" s="2">
        <v>95.8</v>
      </c>
      <c r="C123" s="1">
        <f t="shared" si="77"/>
        <v>116.36202098310892</v>
      </c>
      <c r="D123" s="8">
        <v>97.3</v>
      </c>
      <c r="E123" s="1">
        <f t="shared" si="78"/>
        <v>88.48664411934449</v>
      </c>
      <c r="F123" s="2">
        <v>98</v>
      </c>
      <c r="G123" s="1">
        <f t="shared" si="79"/>
        <v>102.91077305398203</v>
      </c>
      <c r="H123" s="8">
        <v>100.2</v>
      </c>
      <c r="I123" s="2">
        <f t="shared" si="76"/>
        <v>136.73549974855422</v>
      </c>
      <c r="J123" s="4">
        <v>55.67</v>
      </c>
      <c r="K123" s="5">
        <v>2296.8000000000002</v>
      </c>
      <c r="L123" s="24">
        <v>7.5982000000000003</v>
      </c>
      <c r="M123" s="1">
        <v>65.319999999999993</v>
      </c>
      <c r="N123" s="1">
        <v>19.850000000000001</v>
      </c>
      <c r="O123" s="28">
        <v>0.91968119144439697</v>
      </c>
    </row>
    <row r="124" spans="1:15" x14ac:dyDescent="0.2">
      <c r="A124" s="21" t="s">
        <v>135</v>
      </c>
      <c r="B124" s="2">
        <v>111.4</v>
      </c>
      <c r="C124" s="1">
        <f t="shared" si="77"/>
        <v>129.62729137518335</v>
      </c>
      <c r="D124" s="8">
        <v>109.1</v>
      </c>
      <c r="E124" s="1">
        <f t="shared" si="78"/>
        <v>96.538928734204831</v>
      </c>
      <c r="F124" s="2">
        <v>105</v>
      </c>
      <c r="G124" s="1">
        <f t="shared" si="79"/>
        <v>108.05631170668113</v>
      </c>
      <c r="H124" s="8">
        <v>100.3</v>
      </c>
      <c r="I124" s="2">
        <f t="shared" si="76"/>
        <v>137.14570624779989</v>
      </c>
      <c r="J124" s="4">
        <v>57.26</v>
      </c>
      <c r="K124" s="5">
        <v>2270.98</v>
      </c>
      <c r="L124" s="24">
        <v>7.4516</v>
      </c>
      <c r="M124" s="1">
        <v>66.02</v>
      </c>
      <c r="N124" s="1">
        <v>19.97</v>
      </c>
      <c r="O124" s="28">
        <v>1.3871549367904663</v>
      </c>
    </row>
    <row r="125" spans="1:15" x14ac:dyDescent="0.2">
      <c r="A125" s="21" t="s">
        <v>136</v>
      </c>
      <c r="B125" s="2">
        <v>95.4</v>
      </c>
      <c r="C125" s="1">
        <f t="shared" si="77"/>
        <v>123.66443597192492</v>
      </c>
      <c r="D125" s="8">
        <v>98.9</v>
      </c>
      <c r="E125" s="1">
        <f t="shared" si="78"/>
        <v>95.477000518128591</v>
      </c>
      <c r="F125" s="2">
        <v>100.2</v>
      </c>
      <c r="G125" s="1">
        <f t="shared" si="79"/>
        <v>108.27242433009449</v>
      </c>
      <c r="H125" s="8">
        <v>100.4</v>
      </c>
      <c r="I125" s="2">
        <f t="shared" si="76"/>
        <v>137.69428907279109</v>
      </c>
      <c r="J125" s="4">
        <v>62</v>
      </c>
      <c r="K125" s="5">
        <v>2307.02</v>
      </c>
      <c r="L125" s="24">
        <v>7.25</v>
      </c>
      <c r="M125" s="1">
        <v>72.11</v>
      </c>
      <c r="N125" s="1">
        <v>15.93</v>
      </c>
      <c r="O125" s="28">
        <v>1.284271240234375</v>
      </c>
    </row>
    <row r="126" spans="1:15" x14ac:dyDescent="0.2">
      <c r="A126" s="21" t="s">
        <v>137</v>
      </c>
      <c r="B126" s="2">
        <v>101.6</v>
      </c>
      <c r="C126" s="1">
        <f t="shared" si="77"/>
        <v>125.6430669474757</v>
      </c>
      <c r="D126" s="8">
        <v>101.6</v>
      </c>
      <c r="E126" s="1">
        <f t="shared" si="78"/>
        <v>97.004632526418646</v>
      </c>
      <c r="F126" s="2">
        <v>99</v>
      </c>
      <c r="G126" s="1">
        <f t="shared" si="79"/>
        <v>107.18970008679355</v>
      </c>
      <c r="H126" s="8">
        <v>100.4</v>
      </c>
      <c r="I126" s="2">
        <f t="shared" si="76"/>
        <v>138.24506622908225</v>
      </c>
      <c r="J126" s="4">
        <v>62.59</v>
      </c>
      <c r="K126" s="5">
        <v>2302.88</v>
      </c>
      <c r="L126" s="24">
        <v>7.25</v>
      </c>
      <c r="M126" s="1">
        <v>76.98</v>
      </c>
      <c r="N126" s="1">
        <v>15.43</v>
      </c>
      <c r="O126" s="28">
        <v>0.98332619667053223</v>
      </c>
    </row>
    <row r="127" spans="1:15" x14ac:dyDescent="0.2">
      <c r="A127" s="21" t="s">
        <v>138</v>
      </c>
      <c r="B127" s="2">
        <v>100.2</v>
      </c>
      <c r="C127" s="1">
        <f t="shared" si="77"/>
        <v>125.89435308137067</v>
      </c>
      <c r="D127" s="8">
        <v>101.6</v>
      </c>
      <c r="E127" s="1">
        <f t="shared" si="78"/>
        <v>98.556706646841334</v>
      </c>
      <c r="F127" s="2">
        <v>101.4</v>
      </c>
      <c r="G127" s="1">
        <f t="shared" si="79"/>
        <v>108.69035588800867</v>
      </c>
      <c r="H127" s="8">
        <v>100.5</v>
      </c>
      <c r="I127" s="2">
        <f t="shared" si="76"/>
        <v>138.93629156022769</v>
      </c>
      <c r="J127" s="4">
        <v>62.76</v>
      </c>
      <c r="K127" s="5">
        <v>2295.9499999999998</v>
      </c>
      <c r="L127" s="24">
        <v>7.25</v>
      </c>
      <c r="M127" s="1">
        <v>74.41</v>
      </c>
      <c r="N127" s="1">
        <v>16.09</v>
      </c>
      <c r="O127" s="28">
        <v>0.89539510011672974</v>
      </c>
    </row>
    <row r="128" spans="1:15" x14ac:dyDescent="0.2">
      <c r="A128" s="21" t="s">
        <v>139</v>
      </c>
      <c r="B128" s="2">
        <v>101</v>
      </c>
      <c r="C128" s="1">
        <f t="shared" si="77"/>
        <v>127.15329661218436</v>
      </c>
      <c r="D128" s="8">
        <v>102.8</v>
      </c>
      <c r="E128" s="1">
        <f t="shared" si="78"/>
        <v>101.31629443295289</v>
      </c>
      <c r="F128" s="2">
        <v>100.7</v>
      </c>
      <c r="G128" s="1">
        <f t="shared" si="79"/>
        <v>109.45118837922473</v>
      </c>
      <c r="H128" s="8">
        <v>100.3</v>
      </c>
      <c r="I128" s="2">
        <f t="shared" si="76"/>
        <v>139.35310043490838</v>
      </c>
      <c r="J128" s="4">
        <v>62.78</v>
      </c>
      <c r="K128" s="5">
        <v>2321.11</v>
      </c>
      <c r="L128" s="24">
        <v>7.25</v>
      </c>
      <c r="M128" s="1">
        <v>74.25</v>
      </c>
      <c r="N128" s="1">
        <v>12.83</v>
      </c>
      <c r="O128" s="28">
        <v>1.0046592950820923</v>
      </c>
    </row>
    <row r="129" spans="1:15" x14ac:dyDescent="0.2">
      <c r="A129" s="21" t="s">
        <v>140</v>
      </c>
      <c r="B129" s="2">
        <v>102.1</v>
      </c>
      <c r="C129" s="1">
        <f t="shared" si="77"/>
        <v>129.82351584104023</v>
      </c>
      <c r="D129" s="8">
        <v>103.8</v>
      </c>
      <c r="E129" s="1">
        <f t="shared" si="78"/>
        <v>105.1663136214051</v>
      </c>
      <c r="F129" s="2">
        <v>100.1</v>
      </c>
      <c r="G129" s="1">
        <f t="shared" si="79"/>
        <v>109.56063956760396</v>
      </c>
      <c r="H129" s="2">
        <v>100</v>
      </c>
      <c r="I129" s="2">
        <f t="shared" si="76"/>
        <v>139.35310043490838</v>
      </c>
      <c r="J129" s="4">
        <v>68.08</v>
      </c>
      <c r="K129" s="5">
        <v>2345.85</v>
      </c>
      <c r="L129" s="24">
        <v>7.25</v>
      </c>
      <c r="M129" s="1">
        <v>72.53</v>
      </c>
      <c r="N129" s="1">
        <v>12.86</v>
      </c>
      <c r="O129" s="28">
        <v>1.0256410837173462</v>
      </c>
    </row>
    <row r="130" spans="1:15" x14ac:dyDescent="0.2">
      <c r="A130" s="21" t="s">
        <v>141</v>
      </c>
      <c r="B130" s="2">
        <v>99.8</v>
      </c>
      <c r="C130" s="1">
        <f t="shared" si="77"/>
        <v>129.56386880935815</v>
      </c>
      <c r="D130" s="8">
        <v>98.9</v>
      </c>
      <c r="E130" s="1">
        <f t="shared" si="78"/>
        <v>104.00948417156964</v>
      </c>
      <c r="F130" s="2">
        <v>98.5</v>
      </c>
      <c r="G130" s="1">
        <f t="shared" si="79"/>
        <v>107.91722997408989</v>
      </c>
      <c r="H130" s="8">
        <v>100.2</v>
      </c>
      <c r="I130" s="2">
        <f t="shared" si="76"/>
        <v>139.63180663577822</v>
      </c>
      <c r="J130" s="4">
        <v>65.59</v>
      </c>
      <c r="K130" s="5">
        <v>2475.36</v>
      </c>
      <c r="L130" s="24">
        <v>7.3666999999999998</v>
      </c>
      <c r="M130" s="1">
        <v>78.89</v>
      </c>
      <c r="N130" s="1">
        <v>12.12</v>
      </c>
      <c r="O130" s="28">
        <v>0.87514585256576538</v>
      </c>
    </row>
    <row r="131" spans="1:15" x14ac:dyDescent="0.2">
      <c r="A131" s="21" t="s">
        <v>142</v>
      </c>
      <c r="B131" s="2">
        <v>107</v>
      </c>
      <c r="C131" s="1">
        <f t="shared" si="77"/>
        <v>138.63333962601322</v>
      </c>
      <c r="D131" s="8">
        <v>100.4</v>
      </c>
      <c r="E131" s="1">
        <f t="shared" si="78"/>
        <v>104.42552210825592</v>
      </c>
      <c r="F131" s="2">
        <v>101</v>
      </c>
      <c r="G131" s="1">
        <f t="shared" si="79"/>
        <v>108.9964022738308</v>
      </c>
      <c r="H131" s="8">
        <v>100.4</v>
      </c>
      <c r="I131" s="2">
        <f t="shared" si="76"/>
        <v>140.19033386232132</v>
      </c>
      <c r="J131" s="4">
        <v>65.77</v>
      </c>
      <c r="K131" s="5">
        <v>2352.71</v>
      </c>
      <c r="L131" s="24">
        <v>7.5</v>
      </c>
      <c r="M131" s="1">
        <v>81.03</v>
      </c>
      <c r="N131" s="1">
        <v>21.23</v>
      </c>
      <c r="O131" s="28">
        <v>0.75595492124557495</v>
      </c>
    </row>
    <row r="132" spans="1:15" x14ac:dyDescent="0.2">
      <c r="A132" s="21" t="s">
        <v>143</v>
      </c>
      <c r="B132" s="2">
        <v>99.6</v>
      </c>
      <c r="C132" s="1">
        <f t="shared" si="77"/>
        <v>138.07880626750918</v>
      </c>
      <c r="D132" s="8">
        <v>99.9</v>
      </c>
      <c r="E132" s="1">
        <f t="shared" si="78"/>
        <v>104.32109658614768</v>
      </c>
      <c r="F132" s="2">
        <v>101.6</v>
      </c>
      <c r="G132" s="1">
        <f t="shared" si="79"/>
        <v>110.74034471021209</v>
      </c>
      <c r="H132" s="8">
        <v>100.5</v>
      </c>
      <c r="I132" s="2">
        <f t="shared" si="76"/>
        <v>140.89128553163292</v>
      </c>
      <c r="J132" s="4">
        <v>66.63</v>
      </c>
      <c r="K132" s="5">
        <v>2392.5</v>
      </c>
      <c r="L132" s="24">
        <v>7.5</v>
      </c>
      <c r="M132" s="1">
        <v>64.75</v>
      </c>
      <c r="N132" s="1">
        <v>18.07</v>
      </c>
      <c r="O132" s="28">
        <v>0.72632193565368652</v>
      </c>
    </row>
    <row r="133" spans="1:15" x14ac:dyDescent="0.2">
      <c r="A133" s="21" t="s">
        <v>144</v>
      </c>
      <c r="B133" s="2">
        <v>107.8</v>
      </c>
      <c r="C133" s="1">
        <f t="shared" si="77"/>
        <v>148.84895315637488</v>
      </c>
      <c r="D133" s="8">
        <v>118.8</v>
      </c>
      <c r="E133" s="1">
        <f t="shared" si="78"/>
        <v>123.93346274434343</v>
      </c>
      <c r="F133" s="2">
        <v>104.8</v>
      </c>
      <c r="G133" s="1">
        <f t="shared" si="79"/>
        <v>116.05588125630226</v>
      </c>
      <c r="H133" s="8">
        <v>100.8</v>
      </c>
      <c r="I133" s="2">
        <f t="shared" si="76"/>
        <v>142.01841581588599</v>
      </c>
      <c r="J133" s="4">
        <v>69.47</v>
      </c>
      <c r="K133" s="5">
        <v>2358.5</v>
      </c>
      <c r="L133" s="24">
        <v>7.6210000000000004</v>
      </c>
      <c r="M133" s="1">
        <v>57.36</v>
      </c>
      <c r="N133" s="1">
        <v>25.42</v>
      </c>
      <c r="O133" s="28">
        <v>0.84981459379196167</v>
      </c>
    </row>
    <row r="134" spans="1:15" x14ac:dyDescent="0.2">
      <c r="A134" s="21" t="s">
        <v>145</v>
      </c>
      <c r="B134" s="2">
        <v>83.8</v>
      </c>
      <c r="C134" s="1">
        <f t="shared" si="77"/>
        <v>124.73542274504214</v>
      </c>
      <c r="D134" s="2">
        <v>75.099999999999994</v>
      </c>
      <c r="E134" s="1">
        <f t="shared" si="78"/>
        <v>93.074030521001916</v>
      </c>
      <c r="F134" s="2">
        <v>91.8</v>
      </c>
      <c r="G134" s="1">
        <f t="shared" si="79"/>
        <v>106.53929899328547</v>
      </c>
      <c r="H134" s="2">
        <v>101</v>
      </c>
      <c r="I134" s="2">
        <f t="shared" si="76"/>
        <v>143.43859997404485</v>
      </c>
      <c r="J134" s="4">
        <v>66.099999999999994</v>
      </c>
      <c r="K134" s="5">
        <v>2521.1</v>
      </c>
      <c r="L134" s="24">
        <v>7.75</v>
      </c>
      <c r="M134" s="1">
        <v>59.41</v>
      </c>
      <c r="N134" s="1">
        <v>16.57</v>
      </c>
      <c r="O134" s="28">
        <v>0.97575396299362183</v>
      </c>
    </row>
    <row r="135" spans="1:15" x14ac:dyDescent="0.2">
      <c r="A135" s="21" t="s">
        <v>146</v>
      </c>
      <c r="B135" s="2">
        <v>97.2</v>
      </c>
      <c r="C135" s="1">
        <f t="shared" si="77"/>
        <v>121.24283090818096</v>
      </c>
      <c r="D135" s="2">
        <v>97.4</v>
      </c>
      <c r="E135" s="1">
        <f t="shared" si="78"/>
        <v>90.654105727455857</v>
      </c>
      <c r="F135" s="2">
        <v>99.7</v>
      </c>
      <c r="G135" s="1">
        <f t="shared" si="79"/>
        <v>106.21968109630561</v>
      </c>
      <c r="H135" s="2">
        <v>100.4</v>
      </c>
      <c r="I135" s="2">
        <f t="shared" si="76"/>
        <v>144.01235437394104</v>
      </c>
      <c r="J135" s="8">
        <v>65.760000000000005</v>
      </c>
      <c r="K135" s="5">
        <v>2485.27</v>
      </c>
      <c r="L135" s="24">
        <v>7.75</v>
      </c>
      <c r="M135" s="1">
        <v>63.96</v>
      </c>
      <c r="N135" s="1">
        <v>14.7</v>
      </c>
      <c r="O135" s="28">
        <v>1.0965629816055298</v>
      </c>
    </row>
    <row r="136" spans="1:15" x14ac:dyDescent="0.2">
      <c r="A136" s="21" t="s">
        <v>147</v>
      </c>
      <c r="B136" s="2">
        <v>109.9</v>
      </c>
      <c r="C136" s="1">
        <f t="shared" si="77"/>
        <v>133.2458711680909</v>
      </c>
      <c r="D136" s="2">
        <v>109.2</v>
      </c>
      <c r="E136" s="1">
        <f t="shared" si="78"/>
        <v>98.994283454381801</v>
      </c>
      <c r="F136" s="2">
        <v>103.8</v>
      </c>
      <c r="G136" s="1">
        <f t="shared" si="79"/>
        <v>110.25602897796522</v>
      </c>
      <c r="H136" s="2">
        <v>100.3</v>
      </c>
      <c r="I136" s="2">
        <f t="shared" si="76"/>
        <v>144.44439143706285</v>
      </c>
      <c r="J136" s="8">
        <v>64.73</v>
      </c>
      <c r="K136" s="5">
        <v>2497.1</v>
      </c>
      <c r="L136" s="24">
        <v>7.75</v>
      </c>
      <c r="M136" s="1">
        <v>66.14</v>
      </c>
      <c r="N136" s="1">
        <v>13.71</v>
      </c>
      <c r="O136" s="28">
        <v>0.54929172992706299</v>
      </c>
    </row>
    <row r="137" spans="1:15" x14ac:dyDescent="0.2">
      <c r="A137" s="21" t="s">
        <v>148</v>
      </c>
      <c r="B137" s="2">
        <v>97.7</v>
      </c>
      <c r="C137" s="1">
        <f t="shared" si="77"/>
        <v>130.1812161312248</v>
      </c>
      <c r="D137" s="2">
        <v>98.5</v>
      </c>
      <c r="E137" s="1">
        <f t="shared" si="78"/>
        <v>97.509369202566063</v>
      </c>
      <c r="F137" s="2">
        <v>100.4</v>
      </c>
      <c r="G137" s="1">
        <f t="shared" si="79"/>
        <v>110.69705309387707</v>
      </c>
      <c r="H137" s="2">
        <v>100.3</v>
      </c>
      <c r="I137" s="2">
        <f t="shared" si="76"/>
        <v>144.87772461137402</v>
      </c>
      <c r="J137" s="8">
        <v>64.69</v>
      </c>
      <c r="K137" s="5">
        <v>2559.3200000000002</v>
      </c>
      <c r="L137" s="24">
        <v>7.75</v>
      </c>
      <c r="M137" s="1">
        <v>71.23</v>
      </c>
      <c r="N137" s="1">
        <v>13.12</v>
      </c>
      <c r="O137" s="28">
        <v>0.87584513425827026</v>
      </c>
    </row>
    <row r="138" spans="1:15" x14ac:dyDescent="0.2">
      <c r="A138" s="21" t="s">
        <v>149</v>
      </c>
      <c r="B138" s="2">
        <v>97.6</v>
      </c>
      <c r="C138" s="1">
        <f t="shared" si="77"/>
        <v>127.0568669440754</v>
      </c>
      <c r="D138" s="2">
        <v>101.5</v>
      </c>
      <c r="E138" s="1">
        <f t="shared" si="78"/>
        <v>98.972009740604548</v>
      </c>
      <c r="F138" s="2">
        <v>98.6</v>
      </c>
      <c r="G138" s="1">
        <f t="shared" si="79"/>
        <v>109.14729435056279</v>
      </c>
      <c r="H138" s="2">
        <v>100.3</v>
      </c>
      <c r="I138" s="2">
        <f t="shared" si="76"/>
        <v>145.31235778520812</v>
      </c>
      <c r="J138" s="8">
        <v>65.06</v>
      </c>
      <c r="K138" s="5">
        <v>2665.33</v>
      </c>
      <c r="L138" s="24">
        <v>7.75</v>
      </c>
      <c r="M138" s="1">
        <v>71.319999999999993</v>
      </c>
      <c r="N138" s="1">
        <v>18.71</v>
      </c>
      <c r="O138" s="28">
        <v>1.0595433712005615</v>
      </c>
    </row>
    <row r="139" spans="1:15" x14ac:dyDescent="0.2">
      <c r="A139" s="21" t="s">
        <v>150</v>
      </c>
      <c r="B139" s="2">
        <v>102.3</v>
      </c>
      <c r="C139" s="1">
        <f t="shared" si="77"/>
        <v>129.97917488378914</v>
      </c>
      <c r="D139" s="2">
        <v>101.5</v>
      </c>
      <c r="E139" s="1">
        <f t="shared" si="78"/>
        <v>100.45658988671362</v>
      </c>
      <c r="F139" s="2">
        <v>100.6</v>
      </c>
      <c r="G139" s="1">
        <f t="shared" si="79"/>
        <v>109.80217811666617</v>
      </c>
      <c r="H139" s="2">
        <v>100</v>
      </c>
      <c r="I139" s="2">
        <f t="shared" ref="I139:I202" si="80">I138*H139 / 100</f>
        <v>145.31235778520812</v>
      </c>
      <c r="J139" s="8">
        <v>63.08</v>
      </c>
      <c r="K139" s="5">
        <v>2765.85</v>
      </c>
      <c r="L139" s="24">
        <v>7.6333000000000002</v>
      </c>
      <c r="M139" s="1">
        <v>64.22</v>
      </c>
      <c r="N139" s="1">
        <v>15.08</v>
      </c>
      <c r="O139" s="28">
        <v>0.96647536754608154</v>
      </c>
    </row>
    <row r="140" spans="1:15" x14ac:dyDescent="0.2">
      <c r="A140" s="21" t="s">
        <v>151</v>
      </c>
      <c r="B140" s="2">
        <v>102.1</v>
      </c>
      <c r="C140" s="1">
        <f t="shared" ref="C140:C203" si="81" xml:space="preserve"> C139*B140 / 100</f>
        <v>132.70873755634872</v>
      </c>
      <c r="D140" s="2">
        <v>102.4</v>
      </c>
      <c r="E140" s="1">
        <f t="shared" ref="E140:E203" si="82">E139*D140 / 100</f>
        <v>102.86754804399476</v>
      </c>
      <c r="F140" s="2">
        <v>101</v>
      </c>
      <c r="G140" s="1">
        <f t="shared" ref="G140:G203" si="83">G139*F140 / 100</f>
        <v>110.90019989783282</v>
      </c>
      <c r="H140" s="2">
        <v>100.2</v>
      </c>
      <c r="I140" s="2">
        <f t="shared" si="80"/>
        <v>145.60298250077855</v>
      </c>
      <c r="J140" s="8">
        <v>63.38</v>
      </c>
      <c r="K140" s="5">
        <v>2739.5</v>
      </c>
      <c r="L140" s="24">
        <v>7.4757999999999996</v>
      </c>
      <c r="M140" s="1">
        <v>63.92</v>
      </c>
      <c r="N140" s="1">
        <v>16.12</v>
      </c>
      <c r="O140" s="28">
        <v>0.86805558204650879</v>
      </c>
    </row>
    <row r="141" spans="1:15" x14ac:dyDescent="0.2">
      <c r="A141" s="21" t="s">
        <v>152</v>
      </c>
      <c r="B141" s="2">
        <v>101.7</v>
      </c>
      <c r="C141" s="1">
        <f t="shared" si="81"/>
        <v>134.96478609480667</v>
      </c>
      <c r="D141" s="2">
        <v>103.4</v>
      </c>
      <c r="E141" s="1">
        <f t="shared" si="82"/>
        <v>106.36504467749059</v>
      </c>
      <c r="F141" s="8">
        <v>100.6</v>
      </c>
      <c r="G141" s="1">
        <f t="shared" si="83"/>
        <v>111.56560109721981</v>
      </c>
      <c r="H141" s="2">
        <v>99.8</v>
      </c>
      <c r="I141" s="2">
        <f t="shared" si="80"/>
        <v>145.311776535777</v>
      </c>
      <c r="J141" s="8">
        <v>66.489999999999995</v>
      </c>
      <c r="K141" s="5">
        <v>2740.04</v>
      </c>
      <c r="L141" s="24">
        <v>7.25</v>
      </c>
      <c r="M141" s="1">
        <v>59.04</v>
      </c>
      <c r="N141" s="1">
        <v>18.98</v>
      </c>
      <c r="O141" s="28">
        <v>0.9523809552192688</v>
      </c>
    </row>
    <row r="142" spans="1:15" x14ac:dyDescent="0.2">
      <c r="A142" s="21" t="s">
        <v>153</v>
      </c>
      <c r="B142" s="2">
        <v>100.9</v>
      </c>
      <c r="C142" s="1">
        <f t="shared" si="81"/>
        <v>136.17946916965994</v>
      </c>
      <c r="D142" s="2">
        <v>98.7</v>
      </c>
      <c r="E142" s="1">
        <f t="shared" si="82"/>
        <v>104.98229909668322</v>
      </c>
      <c r="F142" s="8">
        <v>99.2</v>
      </c>
      <c r="G142" s="1">
        <f t="shared" si="83"/>
        <v>110.67307628844206</v>
      </c>
      <c r="H142" s="2">
        <v>99.8</v>
      </c>
      <c r="I142" s="2">
        <f t="shared" si="80"/>
        <v>145.02115298270544</v>
      </c>
      <c r="J142" s="8">
        <v>64.42</v>
      </c>
      <c r="K142" s="5">
        <v>2747.18</v>
      </c>
      <c r="L142" s="24">
        <v>7.0667</v>
      </c>
      <c r="M142" s="1">
        <v>62.83</v>
      </c>
      <c r="N142" s="1">
        <v>16.239999999999998</v>
      </c>
      <c r="O142" s="28">
        <v>0.67163091897964478</v>
      </c>
    </row>
    <row r="143" spans="1:15" x14ac:dyDescent="0.2">
      <c r="A143" s="21" t="s">
        <v>154</v>
      </c>
      <c r="B143" s="2">
        <v>106.3</v>
      </c>
      <c r="C143" s="1">
        <f t="shared" si="81"/>
        <v>144.75877572734851</v>
      </c>
      <c r="D143" s="2">
        <v>101.4</v>
      </c>
      <c r="E143" s="1">
        <f t="shared" si="82"/>
        <v>106.45205128403678</v>
      </c>
      <c r="F143" s="9">
        <v>101</v>
      </c>
      <c r="G143" s="1">
        <f t="shared" si="83"/>
        <v>111.77980705132649</v>
      </c>
      <c r="H143" s="2">
        <v>100.1</v>
      </c>
      <c r="I143" s="2">
        <f t="shared" si="80"/>
        <v>145.16617413568815</v>
      </c>
      <c r="J143" s="8">
        <v>63.87</v>
      </c>
      <c r="K143" s="5">
        <v>2893.98</v>
      </c>
      <c r="L143" s="24">
        <v>6.9355000000000002</v>
      </c>
      <c r="M143" s="1">
        <v>59.71</v>
      </c>
      <c r="N143" s="1">
        <v>13.22</v>
      </c>
      <c r="O143" s="28">
        <v>1.177822470664978</v>
      </c>
    </row>
    <row r="144" spans="1:15" x14ac:dyDescent="0.2">
      <c r="A144" s="21" t="s">
        <v>155</v>
      </c>
      <c r="B144" s="2">
        <v>96.8</v>
      </c>
      <c r="C144" s="1">
        <f t="shared" si="81"/>
        <v>140.12649490407335</v>
      </c>
      <c r="D144" s="2">
        <v>100.5</v>
      </c>
      <c r="E144" s="1">
        <f t="shared" si="82"/>
        <v>106.98431154045697</v>
      </c>
      <c r="F144" s="8">
        <v>100.5</v>
      </c>
      <c r="G144" s="1">
        <f t="shared" si="83"/>
        <v>112.33870608658312</v>
      </c>
      <c r="H144" s="2">
        <v>100.3</v>
      </c>
      <c r="I144" s="2">
        <f t="shared" si="80"/>
        <v>145.60167265809523</v>
      </c>
      <c r="J144" s="8">
        <v>64.08</v>
      </c>
      <c r="K144" s="5">
        <v>2935.37</v>
      </c>
      <c r="L144" s="24">
        <v>6.5</v>
      </c>
      <c r="M144" s="1">
        <v>63.21</v>
      </c>
      <c r="N144" s="1">
        <v>12.62</v>
      </c>
      <c r="O144" s="28">
        <v>0.65849924087524414</v>
      </c>
    </row>
    <row r="145" spans="1:15" x14ac:dyDescent="0.2">
      <c r="A145" s="21" t="s">
        <v>156</v>
      </c>
      <c r="B145" s="2">
        <v>109</v>
      </c>
      <c r="C145" s="1">
        <f t="shared" si="81"/>
        <v>152.73787944543994</v>
      </c>
      <c r="D145" s="2">
        <v>118</v>
      </c>
      <c r="E145" s="1">
        <f t="shared" si="82"/>
        <v>126.24148761773922</v>
      </c>
      <c r="F145" s="2">
        <v>105.5</v>
      </c>
      <c r="G145" s="1">
        <f t="shared" si="83"/>
        <v>118.5173349213452</v>
      </c>
      <c r="H145" s="2">
        <v>100.4</v>
      </c>
      <c r="I145" s="2">
        <f t="shared" si="80"/>
        <v>146.18407934872761</v>
      </c>
      <c r="J145" s="8">
        <v>61.91</v>
      </c>
      <c r="K145" s="5">
        <v>3045.87</v>
      </c>
      <c r="L145" s="24">
        <v>6.3710000000000004</v>
      </c>
      <c r="M145" s="1">
        <v>67.31</v>
      </c>
      <c r="N145" s="1">
        <v>13.78</v>
      </c>
      <c r="O145" s="28">
        <v>0.58786147832870483</v>
      </c>
    </row>
    <row r="146" spans="1:15" x14ac:dyDescent="0.2">
      <c r="A146" s="21" t="s">
        <v>157</v>
      </c>
      <c r="B146" s="2">
        <v>83</v>
      </c>
      <c r="C146" s="1">
        <f t="shared" si="81"/>
        <v>126.77243993971516</v>
      </c>
      <c r="D146" s="2">
        <v>75.8</v>
      </c>
      <c r="E146" s="1">
        <f t="shared" si="82"/>
        <v>95.69104761424633</v>
      </c>
      <c r="F146" s="2">
        <v>93.1</v>
      </c>
      <c r="G146" s="1">
        <f t="shared" si="83"/>
        <v>110.33963881177236</v>
      </c>
      <c r="H146" s="2">
        <v>100.4</v>
      </c>
      <c r="I146" s="2">
        <f t="shared" si="80"/>
        <v>146.76881566612252</v>
      </c>
      <c r="J146" s="4">
        <v>63.04</v>
      </c>
      <c r="K146" s="5">
        <v>3076.65</v>
      </c>
      <c r="L146" s="24">
        <v>6.25</v>
      </c>
      <c r="M146" s="1">
        <v>63.65</v>
      </c>
      <c r="N146" s="1">
        <v>18.84</v>
      </c>
      <c r="O146" s="28">
        <v>1.1311861276626587</v>
      </c>
    </row>
    <row r="147" spans="1:15" x14ac:dyDescent="0.2">
      <c r="A147" s="21" t="s">
        <v>158</v>
      </c>
      <c r="B147" s="8">
        <v>100.5</v>
      </c>
      <c r="C147" s="1">
        <f t="shared" si="81"/>
        <v>127.40630213941373</v>
      </c>
      <c r="D147" s="2">
        <v>99.4</v>
      </c>
      <c r="E147" s="1">
        <f t="shared" si="82"/>
        <v>95.116901328560857</v>
      </c>
      <c r="F147" s="2">
        <v>99</v>
      </c>
      <c r="G147" s="1">
        <f t="shared" si="83"/>
        <v>109.23624242365464</v>
      </c>
      <c r="H147" s="2">
        <v>100.3</v>
      </c>
      <c r="I147" s="2">
        <f t="shared" si="80"/>
        <v>147.20912211312088</v>
      </c>
      <c r="J147" s="8">
        <v>66.989999999999995</v>
      </c>
      <c r="K147" s="5">
        <v>2785.08</v>
      </c>
      <c r="L147" s="24">
        <v>6.0776000000000003</v>
      </c>
      <c r="M147" s="1">
        <v>55.66</v>
      </c>
      <c r="N147" s="1">
        <v>40.11</v>
      </c>
      <c r="O147" s="28">
        <v>0.75583302974700928</v>
      </c>
    </row>
    <row r="148" spans="1:15" x14ac:dyDescent="0.2">
      <c r="A148" s="21" t="s">
        <v>159</v>
      </c>
      <c r="B148" s="8">
        <v>107.5</v>
      </c>
      <c r="C148" s="1">
        <f t="shared" si="81"/>
        <v>136.96177479986977</v>
      </c>
      <c r="D148" s="2">
        <v>111.4</v>
      </c>
      <c r="E148" s="1">
        <f t="shared" si="82"/>
        <v>105.9602280800168</v>
      </c>
      <c r="F148" s="2">
        <v>96.5</v>
      </c>
      <c r="G148" s="1">
        <f t="shared" si="83"/>
        <v>105.41297393882672</v>
      </c>
      <c r="H148" s="2">
        <v>100.6</v>
      </c>
      <c r="I148" s="2">
        <f t="shared" si="80"/>
        <v>148.09237684579961</v>
      </c>
      <c r="J148" s="8">
        <v>77.73</v>
      </c>
      <c r="K148" s="5">
        <v>2508.81</v>
      </c>
      <c r="L148" s="24">
        <v>6</v>
      </c>
      <c r="M148" s="1">
        <v>32.01</v>
      </c>
      <c r="N148" s="1">
        <v>53.54</v>
      </c>
      <c r="O148" s="28">
        <v>0.40656527876853943</v>
      </c>
    </row>
    <row r="149" spans="1:15" x14ac:dyDescent="0.2">
      <c r="A149" s="21" t="s">
        <v>160</v>
      </c>
      <c r="B149" s="2">
        <v>90.8</v>
      </c>
      <c r="C149" s="1">
        <f t="shared" si="81"/>
        <v>124.36129151828175</v>
      </c>
      <c r="D149" s="2">
        <v>71.900000000000006</v>
      </c>
      <c r="E149" s="1">
        <f t="shared" si="82"/>
        <v>76.185403989532091</v>
      </c>
      <c r="F149" s="2">
        <v>66.2</v>
      </c>
      <c r="G149" s="1">
        <f t="shared" si="83"/>
        <v>69.783388747503295</v>
      </c>
      <c r="H149" s="2">
        <v>100.8</v>
      </c>
      <c r="I149" s="2">
        <f t="shared" si="80"/>
        <v>149.277115860566</v>
      </c>
      <c r="J149" s="8">
        <v>73.69</v>
      </c>
      <c r="K149" s="5">
        <v>2650.56</v>
      </c>
      <c r="L149" s="24">
        <v>5.9333</v>
      </c>
      <c r="M149" s="1">
        <v>18.38</v>
      </c>
      <c r="N149" s="1">
        <v>34.15</v>
      </c>
      <c r="O149" s="28">
        <v>0.43886199593544006</v>
      </c>
    </row>
    <row r="150" spans="1:15" x14ac:dyDescent="0.2">
      <c r="A150" s="21" t="s">
        <v>161</v>
      </c>
      <c r="B150" s="8">
        <v>94.1</v>
      </c>
      <c r="C150" s="1">
        <f t="shared" si="81"/>
        <v>117.02397531870312</v>
      </c>
      <c r="D150" s="2">
        <v>107.3</v>
      </c>
      <c r="E150" s="1">
        <f t="shared" si="82"/>
        <v>81.746938480767938</v>
      </c>
      <c r="F150" s="2">
        <v>97.4</v>
      </c>
      <c r="G150" s="1">
        <f t="shared" si="83"/>
        <v>67.969020640068209</v>
      </c>
      <c r="H150" s="2">
        <v>100.3</v>
      </c>
      <c r="I150" s="2">
        <f t="shared" si="80"/>
        <v>149.72494720814768</v>
      </c>
      <c r="J150" s="8">
        <v>70.75</v>
      </c>
      <c r="K150" s="5">
        <v>2734.83</v>
      </c>
      <c r="L150" s="24">
        <v>5.5</v>
      </c>
      <c r="M150" s="1">
        <v>29.38</v>
      </c>
      <c r="N150" s="1">
        <v>27.51</v>
      </c>
      <c r="O150" s="28">
        <v>0.39039906859397888</v>
      </c>
    </row>
    <row r="151" spans="1:15" x14ac:dyDescent="0.2">
      <c r="A151" s="21" t="s">
        <v>162</v>
      </c>
      <c r="B151" s="8">
        <v>103.6</v>
      </c>
      <c r="C151" s="1">
        <f t="shared" si="81"/>
        <v>121.23683843017643</v>
      </c>
      <c r="D151" s="2">
        <v>115.4</v>
      </c>
      <c r="E151" s="1">
        <f t="shared" si="82"/>
        <v>94.3359670068062</v>
      </c>
      <c r="F151" s="2">
        <v>114.7</v>
      </c>
      <c r="G151" s="1">
        <f t="shared" si="83"/>
        <v>77.960466674158226</v>
      </c>
      <c r="H151" s="2">
        <v>100.2</v>
      </c>
      <c r="I151" s="2">
        <f t="shared" si="80"/>
        <v>150.02439710256397</v>
      </c>
      <c r="J151" s="8">
        <v>69.95</v>
      </c>
      <c r="K151" s="5">
        <v>2743.2</v>
      </c>
      <c r="L151" s="24">
        <v>5.2</v>
      </c>
      <c r="M151" s="1">
        <v>40.270000000000003</v>
      </c>
      <c r="N151" s="1">
        <v>30.43</v>
      </c>
      <c r="O151" s="28">
        <v>0.56583577394485474</v>
      </c>
    </row>
    <row r="152" spans="1:15" x14ac:dyDescent="0.2">
      <c r="A152" s="21" t="s">
        <v>163</v>
      </c>
      <c r="B152" s="8">
        <v>103.2</v>
      </c>
      <c r="C152" s="1">
        <f t="shared" si="81"/>
        <v>125.11641725994208</v>
      </c>
      <c r="D152" s="2">
        <v>108.6</v>
      </c>
      <c r="E152" s="1">
        <f t="shared" si="82"/>
        <v>102.44886016939154</v>
      </c>
      <c r="F152" s="2">
        <v>114.3</v>
      </c>
      <c r="G152" s="1">
        <f t="shared" si="83"/>
        <v>89.108813408562852</v>
      </c>
      <c r="H152" s="2">
        <v>100.4</v>
      </c>
      <c r="I152" s="2">
        <f t="shared" si="80"/>
        <v>150.62449469097422</v>
      </c>
      <c r="J152" s="8">
        <v>73.36</v>
      </c>
      <c r="K152" s="5">
        <v>2911.57</v>
      </c>
      <c r="L152" s="24">
        <v>4.4596999999999998</v>
      </c>
      <c r="M152" s="1">
        <v>43.24</v>
      </c>
      <c r="N152" s="1">
        <v>24.46</v>
      </c>
      <c r="O152" s="28">
        <v>0.42829716205596924</v>
      </c>
    </row>
    <row r="153" spans="1:15" x14ac:dyDescent="0.2">
      <c r="A153" s="21" t="s">
        <v>164</v>
      </c>
      <c r="B153" s="8">
        <v>103.5</v>
      </c>
      <c r="C153" s="1">
        <f t="shared" si="81"/>
        <v>129.49549186404005</v>
      </c>
      <c r="D153" s="2">
        <v>103.3</v>
      </c>
      <c r="E153" s="1">
        <f t="shared" si="82"/>
        <v>105.82967255498146</v>
      </c>
      <c r="F153" s="2">
        <v>109.4</v>
      </c>
      <c r="G153" s="1">
        <f t="shared" si="83"/>
        <v>97.48504186896777</v>
      </c>
      <c r="H153" s="6">
        <v>100</v>
      </c>
      <c r="I153" s="2">
        <f t="shared" si="80"/>
        <v>150.62449469097422</v>
      </c>
      <c r="J153" s="8">
        <v>74.64</v>
      </c>
      <c r="K153" s="5">
        <v>2966.2</v>
      </c>
      <c r="L153" s="24">
        <v>4.25</v>
      </c>
      <c r="M153" s="1">
        <v>44.74</v>
      </c>
      <c r="N153" s="1">
        <v>26.41</v>
      </c>
      <c r="O153" s="28">
        <v>0.71408170461654663</v>
      </c>
    </row>
    <row r="154" spans="1:15" x14ac:dyDescent="0.2">
      <c r="A154" s="21" t="s">
        <v>165</v>
      </c>
      <c r="B154" s="8">
        <v>101.3</v>
      </c>
      <c r="C154" s="1">
        <f t="shared" si="81"/>
        <v>131.17893325827256</v>
      </c>
      <c r="D154" s="2">
        <v>98.2</v>
      </c>
      <c r="E154" s="1">
        <f t="shared" si="82"/>
        <v>103.92473844899179</v>
      </c>
      <c r="F154" s="8">
        <v>104.4</v>
      </c>
      <c r="G154" s="1">
        <f t="shared" si="83"/>
        <v>101.77438371120235</v>
      </c>
      <c r="H154" s="2">
        <v>99.9</v>
      </c>
      <c r="I154" s="2">
        <f t="shared" si="80"/>
        <v>150.47387019628326</v>
      </c>
      <c r="J154" s="8">
        <v>79.680000000000007</v>
      </c>
      <c r="K154" s="5">
        <v>2905.81</v>
      </c>
      <c r="L154" s="24">
        <v>4.25</v>
      </c>
      <c r="M154" s="1">
        <v>40.909999999999997</v>
      </c>
      <c r="N154" s="1">
        <v>26.37</v>
      </c>
      <c r="O154" s="28">
        <v>0.87994033098220825</v>
      </c>
    </row>
    <row r="155" spans="1:15" x14ac:dyDescent="0.2">
      <c r="A155" s="21" t="s">
        <v>166</v>
      </c>
      <c r="B155" s="8">
        <v>104.4</v>
      </c>
      <c r="C155" s="1">
        <f t="shared" si="81"/>
        <v>136.95080632163658</v>
      </c>
      <c r="D155" s="2">
        <v>102.3</v>
      </c>
      <c r="E155" s="1">
        <f t="shared" si="82"/>
        <v>106.31500743331861</v>
      </c>
      <c r="F155" s="10">
        <v>99.4</v>
      </c>
      <c r="G155" s="1">
        <f t="shared" si="83"/>
        <v>101.16373740893513</v>
      </c>
      <c r="H155" s="11">
        <v>100.4</v>
      </c>
      <c r="I155" s="2">
        <f t="shared" si="80"/>
        <v>151.0757656770684</v>
      </c>
      <c r="J155" s="8">
        <v>79.33</v>
      </c>
      <c r="K155" s="5">
        <v>2690.59</v>
      </c>
      <c r="L155" s="24">
        <v>4.25</v>
      </c>
      <c r="M155" s="1">
        <v>40.19</v>
      </c>
      <c r="N155" s="1">
        <v>38.020000000000003</v>
      </c>
      <c r="O155" s="28">
        <v>0.54999297857284546</v>
      </c>
    </row>
    <row r="156" spans="1:15" x14ac:dyDescent="0.2">
      <c r="A156" s="21" t="s">
        <v>167</v>
      </c>
      <c r="B156" s="2">
        <v>101.2</v>
      </c>
      <c r="C156" s="1">
        <f t="shared" si="81"/>
        <v>138.59421599749621</v>
      </c>
      <c r="D156" s="2">
        <v>98.5</v>
      </c>
      <c r="E156" s="1">
        <f t="shared" si="82"/>
        <v>104.72028232181883</v>
      </c>
      <c r="F156" s="8">
        <v>99.2</v>
      </c>
      <c r="G156" s="1">
        <f t="shared" si="83"/>
        <v>100.35442750966365</v>
      </c>
      <c r="H156" s="11">
        <v>100.7</v>
      </c>
      <c r="I156" s="2">
        <f t="shared" si="80"/>
        <v>152.13329603680788</v>
      </c>
      <c r="J156" s="8">
        <v>75.86</v>
      </c>
      <c r="K156" s="5">
        <v>3107.58</v>
      </c>
      <c r="L156" s="24">
        <v>4.25</v>
      </c>
      <c r="M156" s="1">
        <v>42.69</v>
      </c>
      <c r="N156" s="1">
        <v>20.57</v>
      </c>
      <c r="O156" s="28">
        <v>0.50715988874435425</v>
      </c>
    </row>
    <row r="157" spans="1:15" x14ac:dyDescent="0.2">
      <c r="A157" s="21" t="s">
        <v>168</v>
      </c>
      <c r="B157" s="2">
        <v>114.2</v>
      </c>
      <c r="C157" s="1">
        <f t="shared" si="81"/>
        <v>158.27459466914067</v>
      </c>
      <c r="D157" s="2">
        <v>118.2</v>
      </c>
      <c r="E157" s="1">
        <f t="shared" si="82"/>
        <v>123.77937370438985</v>
      </c>
      <c r="F157" s="8">
        <v>108.9</v>
      </c>
      <c r="G157" s="1">
        <f t="shared" si="83"/>
        <v>109.28597155802372</v>
      </c>
      <c r="H157" s="2">
        <v>100.8</v>
      </c>
      <c r="I157" s="2">
        <f t="shared" si="80"/>
        <v>153.35036240510235</v>
      </c>
      <c r="J157" s="4">
        <v>73.88</v>
      </c>
      <c r="K157" s="5">
        <v>3289.02</v>
      </c>
      <c r="L157" s="24">
        <v>4.25</v>
      </c>
      <c r="M157" s="1">
        <v>49.99</v>
      </c>
      <c r="N157" s="1">
        <v>22.75</v>
      </c>
      <c r="O157" s="28">
        <v>0.69605571031570435</v>
      </c>
    </row>
    <row r="158" spans="1:15" x14ac:dyDescent="0.2">
      <c r="A158" s="21" t="s">
        <v>169</v>
      </c>
      <c r="B158" s="8">
        <v>78.7</v>
      </c>
      <c r="C158" s="1">
        <f t="shared" si="81"/>
        <v>124.56210600461371</v>
      </c>
      <c r="D158" s="2">
        <v>78.3</v>
      </c>
      <c r="E158" s="1">
        <f t="shared" si="82"/>
        <v>96.91924961053725</v>
      </c>
      <c r="F158" s="2">
        <v>92.8</v>
      </c>
      <c r="G158" s="1">
        <f t="shared" si="83"/>
        <v>101.417381605846</v>
      </c>
      <c r="H158" s="2">
        <v>100.7</v>
      </c>
      <c r="I158" s="2">
        <f t="shared" si="80"/>
        <v>154.42381494193808</v>
      </c>
      <c r="J158" s="4">
        <v>76.25</v>
      </c>
      <c r="K158" s="5">
        <v>3277.08</v>
      </c>
      <c r="L158" s="24">
        <v>4.25</v>
      </c>
      <c r="M158" s="1">
        <v>54.77</v>
      </c>
      <c r="N158" s="1">
        <v>33.090000000000003</v>
      </c>
      <c r="O158" s="28">
        <v>0.35862860083580017</v>
      </c>
    </row>
    <row r="159" spans="1:15" x14ac:dyDescent="0.2">
      <c r="A159" s="21" t="s">
        <v>170</v>
      </c>
      <c r="B159" s="2">
        <v>99.5</v>
      </c>
      <c r="C159" s="1">
        <f t="shared" si="81"/>
        <v>123.93929547459064</v>
      </c>
      <c r="D159" s="2">
        <v>97.6</v>
      </c>
      <c r="E159" s="1">
        <f t="shared" si="82"/>
        <v>94.593187619884361</v>
      </c>
      <c r="F159" s="2">
        <v>102.9</v>
      </c>
      <c r="G159" s="1">
        <f t="shared" si="83"/>
        <v>104.35848567241554</v>
      </c>
      <c r="H159" s="2">
        <v>100.8</v>
      </c>
      <c r="I159" s="2">
        <f t="shared" si="80"/>
        <v>155.65920546147356</v>
      </c>
      <c r="J159" s="4">
        <v>74.44</v>
      </c>
      <c r="K159" s="5">
        <v>3346.64</v>
      </c>
      <c r="L159" s="24">
        <v>4.25</v>
      </c>
      <c r="M159" s="1">
        <v>62.28</v>
      </c>
      <c r="N159" s="1">
        <v>27.95</v>
      </c>
      <c r="O159" s="28">
        <v>0.5041469931602478</v>
      </c>
    </row>
    <row r="160" spans="1:15" x14ac:dyDescent="0.2">
      <c r="A160" s="21" t="s">
        <v>171</v>
      </c>
      <c r="B160" s="8">
        <v>113.6</v>
      </c>
      <c r="C160" s="1">
        <f t="shared" si="81"/>
        <v>140.79503965913497</v>
      </c>
      <c r="D160" s="2">
        <v>109.4</v>
      </c>
      <c r="E160" s="1">
        <f t="shared" si="82"/>
        <v>103.4849472561535</v>
      </c>
      <c r="F160" s="2">
        <v>106.7</v>
      </c>
      <c r="G160" s="1">
        <f t="shared" si="83"/>
        <v>111.35050421246738</v>
      </c>
      <c r="H160" s="2">
        <v>100.7</v>
      </c>
      <c r="I160" s="2">
        <f t="shared" si="80"/>
        <v>156.74881989970388</v>
      </c>
      <c r="J160" s="4">
        <v>75.7</v>
      </c>
      <c r="K160" s="5">
        <v>3541.72</v>
      </c>
      <c r="L160" s="24">
        <v>4.3305999999999996</v>
      </c>
      <c r="M160" s="1">
        <v>65.41</v>
      </c>
      <c r="N160" s="1">
        <v>19.399999999999999</v>
      </c>
      <c r="O160" s="28">
        <v>0.62323784828186035</v>
      </c>
    </row>
    <row r="161" spans="1:15" x14ac:dyDescent="0.2">
      <c r="A161" s="21" t="s">
        <v>172</v>
      </c>
      <c r="B161" s="2">
        <v>96.2</v>
      </c>
      <c r="C161" s="1">
        <f t="shared" si="81"/>
        <v>135.44482815208784</v>
      </c>
      <c r="D161" s="2">
        <v>100.4</v>
      </c>
      <c r="E161" s="1">
        <f t="shared" si="82"/>
        <v>103.89888704517813</v>
      </c>
      <c r="F161" s="2">
        <v>101</v>
      </c>
      <c r="G161" s="1">
        <f t="shared" si="83"/>
        <v>112.46400925459206</v>
      </c>
      <c r="H161" s="2">
        <v>100.6</v>
      </c>
      <c r="I161" s="2">
        <f t="shared" si="80"/>
        <v>157.6893128191021</v>
      </c>
      <c r="J161" s="4">
        <v>74.38</v>
      </c>
      <c r="K161" s="5">
        <v>3544</v>
      </c>
      <c r="L161" s="24">
        <v>4.5833000000000004</v>
      </c>
      <c r="M161" s="1">
        <v>64.81</v>
      </c>
      <c r="N161" s="1">
        <v>18.61</v>
      </c>
      <c r="O161" s="28">
        <v>0.95135796070098877</v>
      </c>
    </row>
    <row r="162" spans="1:15" x14ac:dyDescent="0.2">
      <c r="A162" s="21" t="s">
        <v>173</v>
      </c>
      <c r="B162" s="2">
        <v>97.7</v>
      </c>
      <c r="C162" s="1">
        <f t="shared" si="81"/>
        <v>132.32959710458982</v>
      </c>
      <c r="D162" s="2">
        <v>100.9</v>
      </c>
      <c r="E162" s="1">
        <f t="shared" si="82"/>
        <v>104.83397702858474</v>
      </c>
      <c r="F162" s="2">
        <v>97.6</v>
      </c>
      <c r="G162" s="1">
        <f t="shared" si="83"/>
        <v>109.76487303248184</v>
      </c>
      <c r="H162" s="2">
        <v>100.7</v>
      </c>
      <c r="I162" s="2">
        <f t="shared" si="80"/>
        <v>158.79313800883583</v>
      </c>
      <c r="J162" s="8">
        <v>73.59</v>
      </c>
      <c r="K162" s="5">
        <v>3721.63</v>
      </c>
      <c r="L162" s="24">
        <v>5</v>
      </c>
      <c r="M162" s="1">
        <v>68.53</v>
      </c>
      <c r="N162" s="1">
        <v>16.760000000000002</v>
      </c>
      <c r="O162" s="28">
        <v>0.56388187408447266</v>
      </c>
    </row>
    <row r="163" spans="1:15" x14ac:dyDescent="0.2">
      <c r="A163" s="21" t="s">
        <v>174</v>
      </c>
      <c r="B163" s="2">
        <v>102.1</v>
      </c>
      <c r="C163" s="1">
        <f t="shared" si="81"/>
        <v>135.1085186437862</v>
      </c>
      <c r="D163" s="2">
        <v>100.5</v>
      </c>
      <c r="E163" s="1">
        <f t="shared" si="82"/>
        <v>105.35814691372767</v>
      </c>
      <c r="F163" s="2">
        <v>101.3</v>
      </c>
      <c r="G163" s="1">
        <f t="shared" si="83"/>
        <v>111.1918163819041</v>
      </c>
      <c r="H163" s="2">
        <v>100.7</v>
      </c>
      <c r="I163" s="2">
        <f t="shared" si="80"/>
        <v>159.90468997489768</v>
      </c>
      <c r="J163" s="8">
        <v>72.37</v>
      </c>
      <c r="K163" s="5">
        <v>3841.85</v>
      </c>
      <c r="L163" s="24">
        <v>5.2667000000000002</v>
      </c>
      <c r="M163" s="1">
        <v>73.16</v>
      </c>
      <c r="N163" s="1">
        <v>15.83</v>
      </c>
      <c r="O163" s="28">
        <v>0.85146641731262207</v>
      </c>
    </row>
    <row r="164" spans="1:15" x14ac:dyDescent="0.2">
      <c r="A164" s="21" t="s">
        <v>175</v>
      </c>
      <c r="B164" s="8">
        <v>99.9</v>
      </c>
      <c r="C164" s="1">
        <f t="shared" si="81"/>
        <v>134.97341012514241</v>
      </c>
      <c r="D164" s="2">
        <v>102.9</v>
      </c>
      <c r="E164" s="1">
        <f t="shared" si="82"/>
        <v>108.41353317422578</v>
      </c>
      <c r="F164" s="2">
        <v>98.8</v>
      </c>
      <c r="G164" s="1">
        <f t="shared" si="83"/>
        <v>109.85751458532125</v>
      </c>
      <c r="H164" s="2">
        <v>100.3</v>
      </c>
      <c r="I164" s="2">
        <f t="shared" si="80"/>
        <v>160.38440404482236</v>
      </c>
      <c r="J164" s="8">
        <v>73.14</v>
      </c>
      <c r="K164" s="5">
        <v>3771.58</v>
      </c>
      <c r="L164" s="24">
        <v>5.6935000000000002</v>
      </c>
      <c r="M164" s="1">
        <v>75.17</v>
      </c>
      <c r="N164" s="1">
        <v>18.239999999999998</v>
      </c>
      <c r="O164" s="28">
        <v>0.50730204582214355</v>
      </c>
    </row>
    <row r="165" spans="1:15" x14ac:dyDescent="0.2">
      <c r="A165" s="21" t="s">
        <v>176</v>
      </c>
      <c r="B165" s="8">
        <v>101.3</v>
      </c>
      <c r="C165" s="1">
        <f t="shared" si="81"/>
        <v>136.72806445676926</v>
      </c>
      <c r="D165" s="2">
        <v>103.3</v>
      </c>
      <c r="E165" s="1">
        <f t="shared" si="82"/>
        <v>111.99117976897521</v>
      </c>
      <c r="F165" s="2">
        <v>103.3</v>
      </c>
      <c r="G165" s="1">
        <f t="shared" si="83"/>
        <v>113.48281256663685</v>
      </c>
      <c r="H165" s="6">
        <v>100.2</v>
      </c>
      <c r="I165" s="2">
        <f t="shared" si="80"/>
        <v>160.70517285291203</v>
      </c>
      <c r="J165" s="8">
        <v>73.569999999999993</v>
      </c>
      <c r="K165" s="5">
        <v>3918.96</v>
      </c>
      <c r="L165" s="24">
        <v>6.5</v>
      </c>
      <c r="M165" s="1">
        <v>70.75</v>
      </c>
      <c r="N165" s="1">
        <v>16.48</v>
      </c>
      <c r="O165" s="28">
        <v>0.54833149909973145</v>
      </c>
    </row>
    <row r="166" spans="1:15" x14ac:dyDescent="0.2">
      <c r="A166" s="21" t="s">
        <v>177</v>
      </c>
      <c r="B166" s="8">
        <v>103.6</v>
      </c>
      <c r="C166" s="1">
        <f t="shared" si="81"/>
        <v>141.65027477721296</v>
      </c>
      <c r="D166" s="2">
        <v>98.6</v>
      </c>
      <c r="E166" s="1">
        <f t="shared" si="82"/>
        <v>110.42330325220955</v>
      </c>
      <c r="F166" s="2">
        <v>102.1</v>
      </c>
      <c r="G166" s="1">
        <f t="shared" si="83"/>
        <v>115.86595163053622</v>
      </c>
      <c r="H166" s="2">
        <v>100.6</v>
      </c>
      <c r="I166" s="2">
        <f t="shared" si="80"/>
        <v>161.66940389002949</v>
      </c>
      <c r="J166" s="8">
        <v>72.760000000000005</v>
      </c>
      <c r="K166" s="5">
        <v>4103.5200000000004</v>
      </c>
      <c r="L166" s="24">
        <v>6.65</v>
      </c>
      <c r="M166" s="1">
        <v>74.489999999999995</v>
      </c>
      <c r="N166" s="1">
        <v>23.14</v>
      </c>
      <c r="O166" s="28">
        <v>0.46583852171897888</v>
      </c>
    </row>
    <row r="167" spans="1:15" x14ac:dyDescent="0.2">
      <c r="A167" s="21" t="s">
        <v>178</v>
      </c>
      <c r="B167" s="8">
        <v>104.8</v>
      </c>
      <c r="C167" s="1">
        <f t="shared" si="81"/>
        <v>148.44948796651917</v>
      </c>
      <c r="D167" s="2">
        <v>100.7</v>
      </c>
      <c r="E167" s="1">
        <f t="shared" si="82"/>
        <v>111.19626637497502</v>
      </c>
      <c r="F167" s="2">
        <v>99.6</v>
      </c>
      <c r="G167" s="1">
        <f t="shared" si="83"/>
        <v>115.40248782401406</v>
      </c>
      <c r="H167" s="11">
        <v>101.1</v>
      </c>
      <c r="I167" s="2">
        <f t="shared" si="80"/>
        <v>163.44776733281981</v>
      </c>
      <c r="J167" s="8">
        <v>70.52</v>
      </c>
      <c r="K167" s="5">
        <v>4150</v>
      </c>
      <c r="L167" s="24">
        <v>6.9194000000000004</v>
      </c>
      <c r="M167" s="1">
        <v>83.54</v>
      </c>
      <c r="N167" s="1">
        <v>16.260000000000002</v>
      </c>
      <c r="O167" s="28">
        <v>0.59364795684814453</v>
      </c>
    </row>
    <row r="168" spans="1:15" x14ac:dyDescent="0.2">
      <c r="A168" s="21" t="s">
        <v>179</v>
      </c>
      <c r="B168" s="8">
        <v>100.8</v>
      </c>
      <c r="C168" s="1">
        <f t="shared" si="81"/>
        <v>149.63708387025133</v>
      </c>
      <c r="D168" s="2">
        <v>97.6</v>
      </c>
      <c r="E168" s="1">
        <f t="shared" si="82"/>
        <v>108.52755598197562</v>
      </c>
      <c r="F168" s="8">
        <v>99.9</v>
      </c>
      <c r="G168" s="1">
        <f t="shared" si="83"/>
        <v>115.28708533619005</v>
      </c>
      <c r="H168" s="6">
        <v>101</v>
      </c>
      <c r="I168" s="2">
        <f t="shared" si="80"/>
        <v>165.08224500614801</v>
      </c>
      <c r="J168" s="8">
        <v>74.98</v>
      </c>
      <c r="K168" s="5">
        <v>3890.59</v>
      </c>
      <c r="L168" s="24">
        <v>7.5</v>
      </c>
      <c r="M168" s="1">
        <v>81.05</v>
      </c>
      <c r="N168" s="1">
        <v>27.19</v>
      </c>
      <c r="O168" s="28">
        <v>0.73087543249130249</v>
      </c>
    </row>
    <row r="169" spans="1:15" x14ac:dyDescent="0.2">
      <c r="A169" s="21" t="s">
        <v>180</v>
      </c>
      <c r="B169" s="8">
        <v>113.8</v>
      </c>
      <c r="C169" s="1">
        <f t="shared" si="81"/>
        <v>170.28700144434603</v>
      </c>
      <c r="D169" s="2">
        <v>120.5</v>
      </c>
      <c r="E169" s="1">
        <f t="shared" si="82"/>
        <v>130.77570495828061</v>
      </c>
      <c r="F169" s="8">
        <v>105.7</v>
      </c>
      <c r="G169" s="1">
        <f t="shared" si="83"/>
        <v>121.85844920035288</v>
      </c>
      <c r="H169" s="2">
        <v>100.8</v>
      </c>
      <c r="I169" s="2">
        <f t="shared" si="80"/>
        <v>166.40290296619719</v>
      </c>
      <c r="J169" s="4">
        <v>74.290000000000006</v>
      </c>
      <c r="K169" s="5">
        <v>3787.26</v>
      </c>
      <c r="L169" s="24">
        <v>7.8871000000000002</v>
      </c>
      <c r="M169" s="1">
        <v>74.17</v>
      </c>
      <c r="N169" s="1">
        <v>17.22</v>
      </c>
      <c r="O169" s="28">
        <v>1.2510024309158325</v>
      </c>
    </row>
    <row r="170" spans="1:15" x14ac:dyDescent="0.2">
      <c r="A170" s="21" t="s">
        <v>181</v>
      </c>
      <c r="B170" s="2">
        <v>79.8</v>
      </c>
      <c r="C170" s="1">
        <f t="shared" si="81"/>
        <v>135.88902715258814</v>
      </c>
      <c r="D170" s="2">
        <v>77.5</v>
      </c>
      <c r="E170" s="1">
        <f t="shared" si="82"/>
        <v>101.35117134266747</v>
      </c>
      <c r="F170" s="2">
        <v>95.7</v>
      </c>
      <c r="G170" s="1">
        <f t="shared" si="83"/>
        <v>116.6185358847377</v>
      </c>
      <c r="H170" s="6">
        <v>101</v>
      </c>
      <c r="I170" s="2">
        <f t="shared" si="80"/>
        <v>168.06693199585916</v>
      </c>
      <c r="J170" s="4">
        <v>77.819999999999993</v>
      </c>
      <c r="K170" s="5">
        <v>3530.38</v>
      </c>
      <c r="L170" s="24">
        <v>8.5</v>
      </c>
      <c r="M170" s="1">
        <v>86.51</v>
      </c>
      <c r="N170" s="1">
        <v>24.83</v>
      </c>
      <c r="O170" s="28">
        <v>1.9447122812271118</v>
      </c>
    </row>
    <row r="171" spans="1:15" x14ac:dyDescent="0.2">
      <c r="A171" s="21" t="s">
        <v>182</v>
      </c>
      <c r="B171" s="2">
        <v>97.2</v>
      </c>
      <c r="C171" s="1">
        <f t="shared" si="81"/>
        <v>132.08413439231569</v>
      </c>
      <c r="D171" s="2">
        <v>99.9</v>
      </c>
      <c r="E171" s="1">
        <f t="shared" si="82"/>
        <v>101.24982017132481</v>
      </c>
      <c r="F171" s="2">
        <v>99.9</v>
      </c>
      <c r="G171" s="1">
        <f t="shared" si="83"/>
        <v>116.50191734885297</v>
      </c>
      <c r="H171" s="2">
        <v>101.2</v>
      </c>
      <c r="I171" s="2">
        <f t="shared" si="80"/>
        <v>170.08373517980948</v>
      </c>
      <c r="J171" s="4">
        <v>83.55</v>
      </c>
      <c r="K171" s="5">
        <v>2470.48</v>
      </c>
      <c r="L171" s="24">
        <v>9.4107000000000003</v>
      </c>
      <c r="M171" s="1">
        <v>97.13</v>
      </c>
      <c r="N171" s="1">
        <v>30.15</v>
      </c>
      <c r="O171" s="28">
        <v>3.4126334190368652</v>
      </c>
    </row>
    <row r="172" spans="1:15" x14ac:dyDescent="0.2">
      <c r="A172" s="21" t="s">
        <v>183</v>
      </c>
      <c r="B172" s="8">
        <v>110.4</v>
      </c>
      <c r="C172" s="1">
        <f t="shared" si="81"/>
        <v>145.82088436911653</v>
      </c>
      <c r="D172" s="2">
        <v>105.3</v>
      </c>
      <c r="E172" s="1">
        <f t="shared" si="82"/>
        <v>106.61606064040502</v>
      </c>
      <c r="F172" s="2">
        <v>102.8</v>
      </c>
      <c r="G172" s="1">
        <f t="shared" si="83"/>
        <v>119.76397103462085</v>
      </c>
      <c r="H172" s="2">
        <v>107.6</v>
      </c>
      <c r="I172" s="2">
        <f t="shared" si="80"/>
        <v>183.01009905347499</v>
      </c>
      <c r="J172" s="4">
        <v>84.09</v>
      </c>
      <c r="K172" s="5">
        <v>2703.51</v>
      </c>
      <c r="L172" s="24">
        <v>20</v>
      </c>
      <c r="M172" s="1">
        <v>117.25</v>
      </c>
      <c r="N172" s="1">
        <v>20.56</v>
      </c>
      <c r="O172" s="28">
        <v>5.5840625762939453</v>
      </c>
    </row>
    <row r="173" spans="1:15" x14ac:dyDescent="0.2">
      <c r="A173" s="21" t="s">
        <v>184</v>
      </c>
      <c r="B173" s="2">
        <v>91.2</v>
      </c>
      <c r="C173" s="1">
        <f t="shared" si="81"/>
        <v>132.98864654463429</v>
      </c>
      <c r="D173" s="2">
        <v>88.2</v>
      </c>
      <c r="E173" s="1">
        <f t="shared" si="82"/>
        <v>94.035365484837243</v>
      </c>
      <c r="F173" s="2">
        <v>97.1</v>
      </c>
      <c r="G173" s="1">
        <f t="shared" si="83"/>
        <v>116.29081587461684</v>
      </c>
      <c r="H173" s="2">
        <v>101.6</v>
      </c>
      <c r="I173" s="2">
        <f t="shared" si="80"/>
        <v>185.93826063833058</v>
      </c>
      <c r="J173" s="4">
        <v>71.02</v>
      </c>
      <c r="K173" s="5">
        <v>2445.17</v>
      </c>
      <c r="L173" s="24">
        <v>18</v>
      </c>
      <c r="M173" s="1">
        <v>104.58</v>
      </c>
      <c r="N173" s="1">
        <v>33.4</v>
      </c>
      <c r="O173" s="28">
        <v>3.8838067054748535</v>
      </c>
    </row>
    <row r="174" spans="1:15" x14ac:dyDescent="0.2">
      <c r="A174" s="21" t="s">
        <v>185</v>
      </c>
      <c r="B174" s="2">
        <v>98.1</v>
      </c>
      <c r="C174" s="1">
        <f t="shared" si="81"/>
        <v>130.46186226028624</v>
      </c>
      <c r="D174" s="2">
        <v>100.7</v>
      </c>
      <c r="E174" s="1">
        <f t="shared" si="82"/>
        <v>94.69361304323111</v>
      </c>
      <c r="F174" s="2">
        <v>98.1</v>
      </c>
      <c r="G174" s="1">
        <f t="shared" si="83"/>
        <v>114.08129037299912</v>
      </c>
      <c r="H174" s="2">
        <v>100.1</v>
      </c>
      <c r="I174" s="2">
        <f t="shared" si="80"/>
        <v>186.1241988989689</v>
      </c>
      <c r="J174" s="4">
        <v>63.1</v>
      </c>
      <c r="K174" s="5">
        <v>2355.75</v>
      </c>
      <c r="L174" s="24">
        <v>13.8065</v>
      </c>
      <c r="M174" s="1">
        <v>113.34</v>
      </c>
      <c r="N174" s="1">
        <v>26.19</v>
      </c>
      <c r="O174" s="28">
        <v>2.6726057529449463</v>
      </c>
    </row>
    <row r="175" spans="1:15" x14ac:dyDescent="0.2">
      <c r="A175" s="21" t="s">
        <v>186</v>
      </c>
      <c r="B175" s="2">
        <v>102.2</v>
      </c>
      <c r="C175" s="1">
        <f t="shared" si="81"/>
        <v>133.33202323001254</v>
      </c>
      <c r="D175" s="2">
        <v>100.9</v>
      </c>
      <c r="E175" s="1">
        <f t="shared" si="82"/>
        <v>95.545855560620197</v>
      </c>
      <c r="F175" s="2">
        <v>101</v>
      </c>
      <c r="G175" s="1">
        <f t="shared" si="83"/>
        <v>115.2221032767291</v>
      </c>
      <c r="H175" s="2">
        <v>99.7</v>
      </c>
      <c r="I175" s="2">
        <f t="shared" si="80"/>
        <v>185.565826302272</v>
      </c>
      <c r="J175" s="4">
        <v>51.16</v>
      </c>
      <c r="K175" s="5">
        <v>2204.85</v>
      </c>
      <c r="L175" s="24">
        <v>10.15</v>
      </c>
      <c r="M175" s="1">
        <v>122.71</v>
      </c>
      <c r="N175" s="1">
        <v>28.71</v>
      </c>
      <c r="O175" s="28">
        <v>2.7469136714935303</v>
      </c>
    </row>
    <row r="176" spans="1:15" x14ac:dyDescent="0.2">
      <c r="A176" s="21" t="s">
        <v>187</v>
      </c>
      <c r="B176" s="8">
        <v>101.8</v>
      </c>
      <c r="C176" s="1">
        <f t="shared" si="81"/>
        <v>135.73199964815277</v>
      </c>
      <c r="D176" s="2">
        <v>103.2</v>
      </c>
      <c r="E176" s="1">
        <f t="shared" si="82"/>
        <v>98.603322938560055</v>
      </c>
      <c r="F176" s="2">
        <v>99.7</v>
      </c>
      <c r="G176" s="1">
        <f t="shared" si="83"/>
        <v>114.87643696689891</v>
      </c>
      <c r="H176" s="2">
        <v>99.6</v>
      </c>
      <c r="I176" s="2">
        <f t="shared" si="80"/>
        <v>184.82356299706291</v>
      </c>
      <c r="J176" s="8">
        <v>61.31</v>
      </c>
      <c r="K176" s="5">
        <v>2213.81</v>
      </c>
      <c r="L176" s="24">
        <v>9.1613000000000007</v>
      </c>
      <c r="M176" s="1">
        <v>111.93</v>
      </c>
      <c r="N176" s="1">
        <v>21.33</v>
      </c>
      <c r="O176" s="28">
        <v>2.5375940799713135</v>
      </c>
    </row>
    <row r="177" spans="1:15" x14ac:dyDescent="0.2">
      <c r="A177" s="21" t="s">
        <v>188</v>
      </c>
      <c r="B177" s="8">
        <v>101.6</v>
      </c>
      <c r="C177" s="1">
        <f t="shared" si="81"/>
        <v>137.90371164252321</v>
      </c>
      <c r="D177" s="2">
        <v>103</v>
      </c>
      <c r="E177" s="1">
        <f t="shared" si="82"/>
        <v>101.56142262671685</v>
      </c>
      <c r="F177" s="2">
        <v>104.7</v>
      </c>
      <c r="G177" s="1">
        <f t="shared" si="83"/>
        <v>120.27562950434316</v>
      </c>
      <c r="H177" s="6">
        <v>99.5</v>
      </c>
      <c r="I177" s="2">
        <f t="shared" si="80"/>
        <v>183.89944518207759</v>
      </c>
      <c r="J177" s="8">
        <v>60.37</v>
      </c>
      <c r="K177" s="5">
        <v>2400.08</v>
      </c>
      <c r="L177" s="24">
        <v>8</v>
      </c>
      <c r="M177" s="1">
        <v>100.45</v>
      </c>
      <c r="N177" s="1">
        <v>25.87</v>
      </c>
      <c r="O177" s="28">
        <v>2.6000957489013672</v>
      </c>
    </row>
    <row r="178" spans="1:15" x14ac:dyDescent="0.2">
      <c r="A178" s="21" t="s">
        <v>189</v>
      </c>
      <c r="B178" s="8">
        <v>100.6</v>
      </c>
      <c r="C178" s="1">
        <f t="shared" si="81"/>
        <v>138.73113391237834</v>
      </c>
      <c r="D178" s="2">
        <v>96.9</v>
      </c>
      <c r="E178" s="1">
        <f t="shared" si="82"/>
        <v>98.413018525288621</v>
      </c>
      <c r="F178" s="2">
        <v>99.4</v>
      </c>
      <c r="G178" s="1">
        <f t="shared" si="83"/>
        <v>119.55397572731709</v>
      </c>
      <c r="H178" s="2">
        <v>100.1</v>
      </c>
      <c r="I178" s="2">
        <f t="shared" si="80"/>
        <v>184.08334462725963</v>
      </c>
      <c r="J178" s="8">
        <v>57.41</v>
      </c>
      <c r="K178" s="5">
        <v>1957.31</v>
      </c>
      <c r="L178" s="24">
        <v>7.8</v>
      </c>
      <c r="M178" s="1">
        <v>89.76</v>
      </c>
      <c r="N178" s="1">
        <v>31.62</v>
      </c>
      <c r="O178" s="28">
        <v>3.1425015926361084</v>
      </c>
    </row>
    <row r="179" spans="1:15" x14ac:dyDescent="0.2">
      <c r="A179" s="21" t="s">
        <v>190</v>
      </c>
      <c r="B179" s="8">
        <v>105.4</v>
      </c>
      <c r="C179" s="1">
        <f t="shared" si="81"/>
        <v>146.22261514364678</v>
      </c>
      <c r="D179" s="2">
        <v>101.5</v>
      </c>
      <c r="E179" s="1">
        <f t="shared" si="82"/>
        <v>99.889213803167948</v>
      </c>
      <c r="F179" s="2">
        <v>99.3</v>
      </c>
      <c r="G179" s="1">
        <f t="shared" si="83"/>
        <v>118.71709789722587</v>
      </c>
      <c r="H179" s="11">
        <v>100.2</v>
      </c>
      <c r="I179" s="2">
        <f t="shared" si="80"/>
        <v>184.45151131651414</v>
      </c>
      <c r="J179" s="8">
        <v>61.53</v>
      </c>
      <c r="K179" s="5">
        <v>2166.61</v>
      </c>
      <c r="L179" s="24">
        <v>7.5</v>
      </c>
      <c r="M179" s="1">
        <v>93.33</v>
      </c>
      <c r="N179" s="1">
        <v>25.88</v>
      </c>
      <c r="O179" s="28">
        <v>3.9301972389221191</v>
      </c>
    </row>
    <row r="180" spans="1:15" x14ac:dyDescent="0.2">
      <c r="A180" s="21" t="s">
        <v>191</v>
      </c>
      <c r="B180" s="8">
        <v>102.1</v>
      </c>
      <c r="C180" s="1">
        <f t="shared" si="81"/>
        <v>149.29329006166336</v>
      </c>
      <c r="D180" s="2">
        <v>100.1</v>
      </c>
      <c r="E180" s="1">
        <f t="shared" si="82"/>
        <v>99.989103016971114</v>
      </c>
      <c r="F180" s="8">
        <v>100.8</v>
      </c>
      <c r="G180" s="1">
        <f t="shared" si="83"/>
        <v>119.66683468040368</v>
      </c>
      <c r="H180" s="6">
        <v>100.4</v>
      </c>
      <c r="I180" s="2">
        <f t="shared" si="80"/>
        <v>185.18931736178018</v>
      </c>
      <c r="J180" s="8">
        <v>61.07</v>
      </c>
      <c r="K180" s="5">
        <v>2174.5300000000002</v>
      </c>
      <c r="L180" s="24">
        <v>7.5</v>
      </c>
      <c r="M180" s="1">
        <v>91.42</v>
      </c>
      <c r="N180" s="1">
        <v>20.58</v>
      </c>
      <c r="O180" s="28">
        <v>2.7443726062774658</v>
      </c>
    </row>
    <row r="181" spans="1:15" x14ac:dyDescent="0.2">
      <c r="A181" s="21" t="s">
        <v>192</v>
      </c>
      <c r="B181" s="8">
        <v>111.6</v>
      </c>
      <c r="C181" s="1">
        <f t="shared" si="81"/>
        <v>166.61131170881629</v>
      </c>
      <c r="D181" s="2">
        <v>117.2</v>
      </c>
      <c r="E181" s="1">
        <f t="shared" si="82"/>
        <v>117.18722873589014</v>
      </c>
      <c r="F181" s="8">
        <v>105.2</v>
      </c>
      <c r="G181" s="1">
        <f t="shared" si="83"/>
        <v>125.88951008378469</v>
      </c>
      <c r="H181" s="2">
        <v>100.8</v>
      </c>
      <c r="I181" s="2">
        <f t="shared" si="80"/>
        <v>186.67083190067441</v>
      </c>
      <c r="J181" s="4">
        <v>70.34</v>
      </c>
      <c r="K181" s="5">
        <v>2154.12</v>
      </c>
      <c r="L181" s="24">
        <v>7.5</v>
      </c>
      <c r="M181" s="1">
        <v>80.92</v>
      </c>
      <c r="N181" s="1">
        <v>21.67</v>
      </c>
      <c r="O181" s="28">
        <v>2.5883524417877197</v>
      </c>
    </row>
    <row r="182" spans="1:15" x14ac:dyDescent="0.2">
      <c r="A182" s="21" t="s">
        <v>193</v>
      </c>
      <c r="B182" s="2">
        <v>80</v>
      </c>
      <c r="C182" s="1">
        <f t="shared" si="81"/>
        <v>133.28904936705302</v>
      </c>
      <c r="D182" s="2">
        <v>81.3</v>
      </c>
      <c r="E182" s="1">
        <f t="shared" si="82"/>
        <v>95.273216962278696</v>
      </c>
      <c r="F182" s="2">
        <v>96.5</v>
      </c>
      <c r="G182" s="1">
        <f t="shared" si="83"/>
        <v>121.48337723085223</v>
      </c>
      <c r="H182" s="2">
        <v>100.8</v>
      </c>
      <c r="I182" s="2">
        <f t="shared" si="80"/>
        <v>188.16419855587981</v>
      </c>
      <c r="J182" s="4">
        <v>69.59</v>
      </c>
      <c r="K182" s="5">
        <v>2225.6</v>
      </c>
      <c r="L182" s="24">
        <v>7.5</v>
      </c>
      <c r="M182" s="1">
        <v>82.5</v>
      </c>
      <c r="N182" s="1">
        <v>19.399999999999999</v>
      </c>
      <c r="O182" s="28">
        <v>1.9578313827514648</v>
      </c>
    </row>
    <row r="183" spans="1:15" x14ac:dyDescent="0.2">
      <c r="A183" s="21" t="s">
        <v>194</v>
      </c>
      <c r="B183" s="2">
        <v>97.9</v>
      </c>
      <c r="C183" s="1">
        <f t="shared" si="81"/>
        <v>130.48997933034491</v>
      </c>
      <c r="D183" s="2">
        <v>98.7</v>
      </c>
      <c r="E183" s="1">
        <f t="shared" si="82"/>
        <v>94.034665141769068</v>
      </c>
      <c r="F183" s="2">
        <v>101.5</v>
      </c>
      <c r="G183" s="1">
        <f t="shared" si="83"/>
        <v>123.30562788931502</v>
      </c>
      <c r="H183" s="2">
        <v>100.5</v>
      </c>
      <c r="I183" s="2">
        <f t="shared" si="80"/>
        <v>189.10501954865921</v>
      </c>
      <c r="J183" s="4">
        <v>75.430000000000007</v>
      </c>
      <c r="K183" s="5">
        <v>2253.16</v>
      </c>
      <c r="L183" s="24">
        <v>7.5</v>
      </c>
      <c r="M183" s="1">
        <v>82.59</v>
      </c>
      <c r="N183" s="1">
        <v>20.7</v>
      </c>
      <c r="O183" s="28">
        <v>2.3529412746429443</v>
      </c>
    </row>
    <row r="184" spans="1:15" x14ac:dyDescent="0.2">
      <c r="A184" s="21" t="s">
        <v>195</v>
      </c>
      <c r="B184" s="8">
        <v>113.4</v>
      </c>
      <c r="C184" s="1">
        <f t="shared" si="81"/>
        <v>147.97563656061112</v>
      </c>
      <c r="D184" s="2">
        <v>109.3</v>
      </c>
      <c r="E184" s="1">
        <f t="shared" si="82"/>
        <v>102.77988899995358</v>
      </c>
      <c r="F184" s="2">
        <v>103.6</v>
      </c>
      <c r="G184" s="1">
        <f t="shared" si="83"/>
        <v>127.74463049333035</v>
      </c>
      <c r="H184" s="2">
        <v>100.4</v>
      </c>
      <c r="I184" s="2">
        <f t="shared" si="80"/>
        <v>189.86143962685387</v>
      </c>
      <c r="J184" s="4">
        <v>77.09</v>
      </c>
      <c r="K184" s="5">
        <v>2450.67</v>
      </c>
      <c r="L184" s="24">
        <v>7.5</v>
      </c>
      <c r="M184" s="1">
        <v>78.430000000000007</v>
      </c>
      <c r="N184" s="1">
        <v>18.7</v>
      </c>
      <c r="O184" s="28">
        <v>2.4775524139404297</v>
      </c>
    </row>
    <row r="185" spans="1:15" x14ac:dyDescent="0.2">
      <c r="A185" s="21" t="s">
        <v>196</v>
      </c>
      <c r="B185" s="2">
        <v>94.6</v>
      </c>
      <c r="C185" s="1">
        <f t="shared" si="81"/>
        <v>139.98495218633809</v>
      </c>
      <c r="D185" s="2">
        <v>100</v>
      </c>
      <c r="E185" s="1">
        <f t="shared" si="82"/>
        <v>102.77988899995358</v>
      </c>
      <c r="F185" s="2">
        <v>97.6</v>
      </c>
      <c r="G185" s="1">
        <f t="shared" si="83"/>
        <v>124.67875936149041</v>
      </c>
      <c r="H185" s="2">
        <v>100.4</v>
      </c>
      <c r="I185" s="2">
        <f t="shared" si="80"/>
        <v>190.62088538536128</v>
      </c>
      <c r="J185" s="4">
        <v>80.510000000000005</v>
      </c>
      <c r="K185" s="5">
        <v>2634.94</v>
      </c>
      <c r="L185" s="24">
        <v>7.5</v>
      </c>
      <c r="M185" s="1">
        <v>84.64</v>
      </c>
      <c r="N185" s="1">
        <v>15.78</v>
      </c>
      <c r="O185" s="28">
        <v>2.176673412322998</v>
      </c>
    </row>
    <row r="186" spans="1:15" x14ac:dyDescent="0.2">
      <c r="A186" s="21" t="s">
        <v>197</v>
      </c>
      <c r="B186" s="2">
        <v>100</v>
      </c>
      <c r="C186" s="1">
        <f t="shared" si="81"/>
        <v>139.98495218633809</v>
      </c>
      <c r="D186" s="2">
        <v>102.6</v>
      </c>
      <c r="E186" s="1">
        <f t="shared" si="82"/>
        <v>105.45216611395237</v>
      </c>
      <c r="F186" s="2">
        <v>99.4</v>
      </c>
      <c r="G186" s="1">
        <f t="shared" si="83"/>
        <v>123.93068680532147</v>
      </c>
      <c r="H186" s="2">
        <v>100.3</v>
      </c>
      <c r="I186" s="2">
        <f t="shared" si="80"/>
        <v>191.19274804151738</v>
      </c>
      <c r="J186" s="4">
        <v>80.69</v>
      </c>
      <c r="K186" s="5">
        <v>2717.64</v>
      </c>
      <c r="L186" s="24">
        <v>7.5</v>
      </c>
      <c r="M186" s="1">
        <v>75.47</v>
      </c>
      <c r="N186" s="1">
        <v>17.940000000000001</v>
      </c>
      <c r="O186" s="28">
        <v>1.9938925504684448</v>
      </c>
    </row>
    <row r="187" spans="1:15" x14ac:dyDescent="0.2">
      <c r="A187" s="21" t="s">
        <v>198</v>
      </c>
      <c r="B187" s="2">
        <v>101.1</v>
      </c>
      <c r="C187" s="1">
        <f t="shared" si="81"/>
        <v>141.5247866603878</v>
      </c>
      <c r="D187" s="2">
        <v>102.3</v>
      </c>
      <c r="E187" s="1">
        <f t="shared" si="82"/>
        <v>107.87756593457327</v>
      </c>
      <c r="F187" s="2">
        <v>100.5</v>
      </c>
      <c r="G187" s="1">
        <f t="shared" si="83"/>
        <v>124.55034023934807</v>
      </c>
      <c r="H187" s="2">
        <v>100.4</v>
      </c>
      <c r="I187" s="2">
        <f t="shared" si="80"/>
        <v>191.95751903368347</v>
      </c>
      <c r="J187" s="4">
        <v>87.03</v>
      </c>
      <c r="K187" s="5">
        <v>2797.37</v>
      </c>
      <c r="L187" s="24">
        <v>7.5</v>
      </c>
      <c r="M187" s="1">
        <v>74.84</v>
      </c>
      <c r="N187" s="1">
        <v>13.59</v>
      </c>
      <c r="O187" s="28">
        <v>2.5788497924804688</v>
      </c>
    </row>
    <row r="188" spans="1:15" x14ac:dyDescent="0.2">
      <c r="A188" s="21" t="s">
        <v>199</v>
      </c>
      <c r="B188" s="2">
        <v>101.6</v>
      </c>
      <c r="C188" s="1">
        <f t="shared" si="81"/>
        <v>143.789183246954</v>
      </c>
      <c r="D188" s="2">
        <v>104</v>
      </c>
      <c r="E188" s="1">
        <f t="shared" si="82"/>
        <v>112.1926685719562</v>
      </c>
      <c r="F188" s="2">
        <v>100.2</v>
      </c>
      <c r="G188" s="1">
        <f t="shared" si="83"/>
        <v>124.79944091982678</v>
      </c>
      <c r="H188" s="2">
        <v>100.6</v>
      </c>
      <c r="I188" s="2">
        <f t="shared" si="80"/>
        <v>193.10926414788554</v>
      </c>
      <c r="J188" s="8">
        <v>90.98</v>
      </c>
      <c r="K188" s="5">
        <v>3073.5</v>
      </c>
      <c r="L188" s="24">
        <v>7.7580999999999998</v>
      </c>
      <c r="M188" s="1">
        <v>80.11</v>
      </c>
      <c r="N188" s="1">
        <v>13.63</v>
      </c>
      <c r="O188" s="28">
        <v>2.2549386024475098</v>
      </c>
    </row>
    <row r="189" spans="1:15" x14ac:dyDescent="0.2">
      <c r="A189" s="21" t="s">
        <v>200</v>
      </c>
      <c r="B189" s="2">
        <v>102.2</v>
      </c>
      <c r="C189" s="1">
        <f t="shared" si="81"/>
        <v>146.95254527838699</v>
      </c>
      <c r="D189" s="2">
        <v>103.6</v>
      </c>
      <c r="E189" s="1">
        <f t="shared" si="82"/>
        <v>116.23160464054664</v>
      </c>
      <c r="F189" s="2">
        <v>104.6</v>
      </c>
      <c r="G189" s="1">
        <f t="shared" si="83"/>
        <v>130.5402152021388</v>
      </c>
      <c r="H189" s="2">
        <v>100.3</v>
      </c>
      <c r="I189" s="2">
        <f t="shared" si="80"/>
        <v>193.68859194032922</v>
      </c>
      <c r="J189" s="8">
        <v>95.93</v>
      </c>
      <c r="K189" s="5">
        <v>3227.99</v>
      </c>
      <c r="L189" s="24">
        <v>10.4194</v>
      </c>
      <c r="M189" s="1">
        <v>86.15</v>
      </c>
      <c r="N189" s="1">
        <v>13.57</v>
      </c>
      <c r="O189" s="28">
        <v>1.8338528871536255</v>
      </c>
    </row>
    <row r="190" spans="1:15" x14ac:dyDescent="0.2">
      <c r="A190" s="21" t="s">
        <v>201</v>
      </c>
      <c r="B190" s="2">
        <v>100.7</v>
      </c>
      <c r="C190" s="1">
        <f t="shared" si="81"/>
        <v>147.9812130953357</v>
      </c>
      <c r="D190" s="2">
        <v>96.5</v>
      </c>
      <c r="E190" s="1">
        <f t="shared" si="82"/>
        <v>112.16349847812749</v>
      </c>
      <c r="F190" s="2">
        <v>98.6</v>
      </c>
      <c r="G190" s="1">
        <f t="shared" si="83"/>
        <v>128.71265218930884</v>
      </c>
      <c r="H190" s="2">
        <v>100.9</v>
      </c>
      <c r="I190" s="2">
        <f t="shared" si="80"/>
        <v>195.4317892677922</v>
      </c>
      <c r="J190" s="8">
        <v>97.41</v>
      </c>
      <c r="K190" s="5">
        <v>3133.26</v>
      </c>
      <c r="L190" s="24">
        <v>12.433299999999999</v>
      </c>
      <c r="M190" s="1">
        <v>93.72</v>
      </c>
      <c r="N190" s="1">
        <v>17.52</v>
      </c>
      <c r="O190" s="28">
        <v>1.6332590579986572</v>
      </c>
    </row>
    <row r="191" spans="1:15" x14ac:dyDescent="0.2">
      <c r="A191" s="21" t="s">
        <v>202</v>
      </c>
      <c r="B191" s="2">
        <v>105</v>
      </c>
      <c r="C191" s="1">
        <f t="shared" si="81"/>
        <v>155.3802737501025</v>
      </c>
      <c r="D191" s="2">
        <v>101.5</v>
      </c>
      <c r="E191" s="1">
        <f t="shared" si="82"/>
        <v>113.84595095529941</v>
      </c>
      <c r="F191" s="2">
        <v>99.2</v>
      </c>
      <c r="G191" s="1">
        <f t="shared" si="83"/>
        <v>127.68295097179438</v>
      </c>
      <c r="H191" s="11">
        <v>100.8</v>
      </c>
      <c r="I191" s="2">
        <f t="shared" si="80"/>
        <v>196.99524358193452</v>
      </c>
      <c r="J191" s="8">
        <v>93.24</v>
      </c>
      <c r="K191" s="5">
        <v>3200.97</v>
      </c>
      <c r="L191" s="24">
        <v>13.129</v>
      </c>
      <c r="M191" s="1">
        <v>90.6</v>
      </c>
      <c r="N191" s="1">
        <v>18.14</v>
      </c>
      <c r="O191" s="28">
        <v>1.7378968000411987</v>
      </c>
    </row>
    <row r="192" spans="1:15" x14ac:dyDescent="0.2">
      <c r="A192" s="21" t="s">
        <v>203</v>
      </c>
      <c r="B192" s="8">
        <v>101.1</v>
      </c>
      <c r="C192" s="1">
        <f t="shared" si="81"/>
        <v>157.08945676135363</v>
      </c>
      <c r="D192" s="2">
        <v>97.3</v>
      </c>
      <c r="E192" s="1">
        <f t="shared" si="82"/>
        <v>110.77211027950632</v>
      </c>
      <c r="F192" s="8">
        <v>99.7</v>
      </c>
      <c r="G192" s="1">
        <f t="shared" si="83"/>
        <v>127.299902118879</v>
      </c>
      <c r="H192" s="6">
        <v>101.1</v>
      </c>
      <c r="I192" s="2">
        <f t="shared" si="80"/>
        <v>199.16219126133581</v>
      </c>
      <c r="J192" s="8">
        <v>88.88</v>
      </c>
      <c r="K192" s="5">
        <v>3165.79</v>
      </c>
      <c r="L192" s="24">
        <v>15</v>
      </c>
      <c r="M192" s="1">
        <v>82.94</v>
      </c>
      <c r="N192" s="1">
        <v>12.92</v>
      </c>
      <c r="O192" s="28">
        <v>1.2075905799865723</v>
      </c>
    </row>
    <row r="193" spans="1:15" x14ac:dyDescent="0.2">
      <c r="A193" s="21" t="s">
        <v>204</v>
      </c>
      <c r="B193" s="2">
        <v>110</v>
      </c>
      <c r="C193" s="1">
        <f t="shared" si="81"/>
        <v>172.79840243748899</v>
      </c>
      <c r="D193" s="2">
        <v>117.2</v>
      </c>
      <c r="E193" s="1">
        <f t="shared" si="82"/>
        <v>129.82491324758141</v>
      </c>
      <c r="F193" s="8">
        <v>105.7</v>
      </c>
      <c r="G193" s="1">
        <f t="shared" si="83"/>
        <v>134.55599653965513</v>
      </c>
      <c r="H193" s="6">
        <v>100.7</v>
      </c>
      <c r="I193" s="2">
        <f t="shared" si="80"/>
        <v>200.55632660016516</v>
      </c>
      <c r="J193" s="4">
        <v>89.688299999999998</v>
      </c>
      <c r="K193" s="5">
        <v>3099.11</v>
      </c>
      <c r="L193" s="24">
        <v>15.451599999999999</v>
      </c>
      <c r="M193" s="1">
        <v>77.63</v>
      </c>
      <c r="N193" s="1">
        <v>12.45</v>
      </c>
      <c r="O193" s="28">
        <v>1.6771488189697266</v>
      </c>
    </row>
    <row r="194" spans="1:15" x14ac:dyDescent="0.2">
      <c r="A194" s="21" t="s">
        <v>205</v>
      </c>
      <c r="B194" s="2">
        <v>81.2</v>
      </c>
      <c r="C194" s="1">
        <f t="shared" si="81"/>
        <v>140.31230277924107</v>
      </c>
      <c r="D194" s="12">
        <v>80.5</v>
      </c>
      <c r="E194" s="1">
        <f t="shared" si="82"/>
        <v>104.50905516430302</v>
      </c>
      <c r="F194" s="2">
        <v>95.3</v>
      </c>
      <c r="G194" s="1">
        <f t="shared" si="83"/>
        <v>128.23186470229132</v>
      </c>
      <c r="H194" s="2">
        <v>100.9</v>
      </c>
      <c r="I194" s="2">
        <f t="shared" si="80"/>
        <v>202.36133353956666</v>
      </c>
      <c r="J194" s="4">
        <v>89.29</v>
      </c>
      <c r="K194" s="5">
        <v>3214.19</v>
      </c>
      <c r="L194" s="24">
        <v>16</v>
      </c>
      <c r="M194" s="1">
        <v>80.12</v>
      </c>
      <c r="N194" s="1">
        <v>14.35</v>
      </c>
      <c r="O194" s="28">
        <v>1.393034815788269</v>
      </c>
    </row>
    <row r="195" spans="1:15" x14ac:dyDescent="0.2">
      <c r="A195" s="21" t="s">
        <v>206</v>
      </c>
      <c r="B195" s="2">
        <v>101.3</v>
      </c>
      <c r="C195" s="1">
        <f t="shared" si="81"/>
        <v>142.13636271537121</v>
      </c>
      <c r="D195" s="12">
        <v>101.8</v>
      </c>
      <c r="E195" s="1">
        <f t="shared" si="82"/>
        <v>106.39021815726048</v>
      </c>
      <c r="F195" s="2">
        <v>101.7</v>
      </c>
      <c r="G195" s="1">
        <f t="shared" si="83"/>
        <v>130.41180640223027</v>
      </c>
      <c r="H195" s="2">
        <v>100.7</v>
      </c>
      <c r="I195" s="2">
        <f t="shared" si="80"/>
        <v>203.77786287434364</v>
      </c>
      <c r="J195" s="4">
        <v>91.87</v>
      </c>
      <c r="K195" s="5">
        <v>3256.8</v>
      </c>
      <c r="L195" s="24">
        <v>16</v>
      </c>
      <c r="M195" s="1">
        <v>83.48</v>
      </c>
      <c r="N195" s="1">
        <v>13.4</v>
      </c>
      <c r="O195" s="28">
        <v>1.6483516693115234</v>
      </c>
    </row>
    <row r="196" spans="1:15" x14ac:dyDescent="0.2">
      <c r="A196" s="21" t="s">
        <v>207</v>
      </c>
      <c r="B196" s="8">
        <v>108.7</v>
      </c>
      <c r="C196" s="1">
        <f t="shared" si="81"/>
        <v>154.50222627160849</v>
      </c>
      <c r="D196" s="12">
        <v>108.4</v>
      </c>
      <c r="E196" s="1">
        <f t="shared" si="82"/>
        <v>115.32699648247036</v>
      </c>
      <c r="F196" s="2">
        <v>101.2</v>
      </c>
      <c r="G196" s="1">
        <f t="shared" si="83"/>
        <v>131.97674807905705</v>
      </c>
      <c r="H196" s="2">
        <v>100.4</v>
      </c>
      <c r="I196" s="2">
        <f t="shared" si="80"/>
        <v>204.59297432584103</v>
      </c>
      <c r="J196" s="4">
        <v>92.37</v>
      </c>
      <c r="K196" s="5">
        <v>3332.53</v>
      </c>
      <c r="L196" s="24">
        <v>16</v>
      </c>
      <c r="M196" s="1">
        <v>85.41</v>
      </c>
      <c r="N196" s="1">
        <v>13.01</v>
      </c>
      <c r="O196" s="28">
        <v>1.3236684799194336</v>
      </c>
    </row>
    <row r="197" spans="1:15" x14ac:dyDescent="0.2">
      <c r="A197" s="21" t="s">
        <v>208</v>
      </c>
      <c r="B197" s="2">
        <v>95.3</v>
      </c>
      <c r="C197" s="1">
        <f t="shared" si="81"/>
        <v>147.24062163684289</v>
      </c>
      <c r="D197" s="12">
        <v>97.5</v>
      </c>
      <c r="E197" s="1">
        <f t="shared" si="82"/>
        <v>112.4438215704086</v>
      </c>
      <c r="F197" s="2">
        <v>99.9</v>
      </c>
      <c r="G197" s="1">
        <f t="shared" si="83"/>
        <v>131.84477133097801</v>
      </c>
      <c r="H197" s="2">
        <v>100.5</v>
      </c>
      <c r="I197" s="2">
        <f t="shared" si="80"/>
        <v>205.61593919747023</v>
      </c>
      <c r="J197" s="13">
        <v>91.78</v>
      </c>
      <c r="K197" s="5">
        <v>3469.83</v>
      </c>
      <c r="L197" s="24">
        <v>16</v>
      </c>
      <c r="M197" s="1">
        <v>89.94</v>
      </c>
      <c r="N197" s="1">
        <v>15.65</v>
      </c>
      <c r="O197" s="28">
        <v>1.5630196332931519</v>
      </c>
    </row>
    <row r="198" spans="1:15" x14ac:dyDescent="0.2">
      <c r="A198" s="21" t="s">
        <v>209</v>
      </c>
      <c r="B198" s="2">
        <v>101</v>
      </c>
      <c r="C198" s="1">
        <f t="shared" si="81"/>
        <v>148.71302785321132</v>
      </c>
      <c r="D198" s="12">
        <v>102.2</v>
      </c>
      <c r="E198" s="1">
        <f t="shared" si="82"/>
        <v>114.9175856449576</v>
      </c>
      <c r="F198" s="2">
        <v>99.2</v>
      </c>
      <c r="G198" s="1">
        <f t="shared" si="83"/>
        <v>130.79001316033018</v>
      </c>
      <c r="H198" s="2">
        <v>100.7</v>
      </c>
      <c r="I198" s="2">
        <f t="shared" si="80"/>
        <v>207.05525077185251</v>
      </c>
      <c r="J198" s="14">
        <v>89.79</v>
      </c>
      <c r="K198" s="5">
        <v>3217.19</v>
      </c>
      <c r="L198" s="24">
        <v>16</v>
      </c>
      <c r="M198" s="1">
        <v>81.75</v>
      </c>
      <c r="N198" s="1">
        <v>12.92</v>
      </c>
      <c r="O198" s="28">
        <v>1.7321015596389771</v>
      </c>
    </row>
    <row r="199" spans="1:15" x14ac:dyDescent="0.2">
      <c r="A199" s="21" t="s">
        <v>210</v>
      </c>
      <c r="B199" s="2">
        <v>97.7</v>
      </c>
      <c r="C199" s="1">
        <f t="shared" si="81"/>
        <v>145.29262821258746</v>
      </c>
      <c r="D199" s="12">
        <v>101</v>
      </c>
      <c r="E199" s="1">
        <f t="shared" si="82"/>
        <v>116.06676150140719</v>
      </c>
      <c r="F199" s="2">
        <v>99.9</v>
      </c>
      <c r="G199" s="1">
        <f t="shared" si="83"/>
        <v>130.65922314716985</v>
      </c>
      <c r="H199" s="2">
        <v>100.6</v>
      </c>
      <c r="I199" s="2">
        <f t="shared" si="80"/>
        <v>208.29758227648364</v>
      </c>
      <c r="J199" s="14">
        <v>85.75</v>
      </c>
      <c r="K199" s="5">
        <v>3123.43</v>
      </c>
      <c r="L199" s="24">
        <v>16</v>
      </c>
      <c r="M199" s="1">
        <v>82.25</v>
      </c>
      <c r="N199" s="1">
        <v>12.44</v>
      </c>
      <c r="O199" s="28">
        <v>1.2654012441635132</v>
      </c>
    </row>
    <row r="200" spans="1:15" x14ac:dyDescent="0.2">
      <c r="A200" s="21" t="s">
        <v>211</v>
      </c>
      <c r="B200" s="2">
        <v>102.8</v>
      </c>
      <c r="C200" s="1">
        <f t="shared" si="81"/>
        <v>149.3608218025399</v>
      </c>
      <c r="D200" s="12">
        <v>103.5</v>
      </c>
      <c r="E200" s="1">
        <f t="shared" si="82"/>
        <v>120.12909815395643</v>
      </c>
      <c r="F200" s="2">
        <v>100.4</v>
      </c>
      <c r="G200" s="1">
        <f t="shared" si="83"/>
        <v>131.18186003975853</v>
      </c>
      <c r="H200" s="2">
        <v>101.1</v>
      </c>
      <c r="I200" s="2">
        <f t="shared" si="80"/>
        <v>210.58885568152493</v>
      </c>
      <c r="J200" s="10">
        <v>86.33</v>
      </c>
      <c r="K200" s="5">
        <v>2945.37</v>
      </c>
      <c r="L200" s="24">
        <v>16.1935</v>
      </c>
      <c r="M200" s="1">
        <v>85.15</v>
      </c>
      <c r="N200" s="1">
        <v>16.36</v>
      </c>
      <c r="O200" s="28">
        <v>0.74049139022827148</v>
      </c>
    </row>
    <row r="201" spans="1:15" x14ac:dyDescent="0.2">
      <c r="A201" s="21" t="s">
        <v>212</v>
      </c>
      <c r="B201" s="2">
        <v>101.4</v>
      </c>
      <c r="C201" s="1">
        <f t="shared" si="81"/>
        <v>151.45187330777549</v>
      </c>
      <c r="D201" s="12">
        <v>102.2</v>
      </c>
      <c r="E201" s="1">
        <f t="shared" si="82"/>
        <v>122.77193831334347</v>
      </c>
      <c r="F201" s="2">
        <v>103.8</v>
      </c>
      <c r="G201" s="1">
        <f t="shared" si="83"/>
        <v>136.16677072126936</v>
      </c>
      <c r="H201" s="2">
        <v>100.2</v>
      </c>
      <c r="I201" s="2">
        <f t="shared" si="80"/>
        <v>211.010033392888</v>
      </c>
      <c r="J201" s="10">
        <v>91.19</v>
      </c>
      <c r="K201" s="5">
        <v>2649.96</v>
      </c>
      <c r="L201" s="24">
        <v>18</v>
      </c>
      <c r="M201" s="1">
        <v>80.36</v>
      </c>
      <c r="N201" s="1">
        <v>15</v>
      </c>
      <c r="O201" s="28">
        <v>1.3813517093658447</v>
      </c>
    </row>
    <row r="202" spans="1:15" x14ac:dyDescent="0.2">
      <c r="A202" s="21" t="s">
        <v>213</v>
      </c>
      <c r="B202" s="2">
        <v>100.6</v>
      </c>
      <c r="C202" s="1">
        <f t="shared" si="81"/>
        <v>152.36058454762212</v>
      </c>
      <c r="D202" s="12">
        <v>97.2</v>
      </c>
      <c r="E202" s="1">
        <f t="shared" si="82"/>
        <v>119.33432404056987</v>
      </c>
      <c r="F202" s="2">
        <v>98.4</v>
      </c>
      <c r="G202" s="1">
        <f t="shared" si="83"/>
        <v>133.98810238972908</v>
      </c>
      <c r="H202" s="2">
        <v>100.5</v>
      </c>
      <c r="I202" s="2">
        <f t="shared" si="80"/>
        <v>212.06508355985244</v>
      </c>
      <c r="J202" s="10">
        <v>92.71</v>
      </c>
      <c r="K202" s="5">
        <v>2857.56</v>
      </c>
      <c r="L202" s="24">
        <v>18.5</v>
      </c>
      <c r="M202" s="1">
        <v>74.02</v>
      </c>
      <c r="N202" s="1">
        <v>16.73</v>
      </c>
      <c r="O202" s="28">
        <v>1.2946058511734009</v>
      </c>
    </row>
    <row r="203" spans="1:15" x14ac:dyDescent="0.2">
      <c r="A203" s="21" t="s">
        <v>214</v>
      </c>
      <c r="B203" s="2">
        <v>107.5</v>
      </c>
      <c r="C203" s="1">
        <f t="shared" si="81"/>
        <v>163.7876283886938</v>
      </c>
      <c r="D203" s="12">
        <v>99.8</v>
      </c>
      <c r="E203" s="1">
        <f t="shared" si="82"/>
        <v>119.09565539248874</v>
      </c>
      <c r="F203" s="2">
        <v>99.8</v>
      </c>
      <c r="G203" s="1">
        <f t="shared" si="83"/>
        <v>133.72012618494963</v>
      </c>
      <c r="H203" s="11">
        <v>100.8</v>
      </c>
      <c r="I203" s="2">
        <f t="shared" ref="I203:I217" si="84">I202*H203 / 100</f>
        <v>213.76160422833127</v>
      </c>
      <c r="J203" s="10">
        <v>97.05</v>
      </c>
      <c r="K203" s="5">
        <v>2560.1999999999998</v>
      </c>
      <c r="L203" s="24">
        <v>19.258099999999999</v>
      </c>
      <c r="M203" s="1">
        <v>75.63</v>
      </c>
      <c r="N203" s="1">
        <v>23.16</v>
      </c>
      <c r="O203" s="28">
        <v>1.2437409162521362</v>
      </c>
    </row>
    <row r="204" spans="1:15" x14ac:dyDescent="0.2">
      <c r="A204" s="21" t="s">
        <v>215</v>
      </c>
      <c r="B204" s="2">
        <v>99.5</v>
      </c>
      <c r="C204" s="1">
        <f t="shared" ref="C204:C217" si="85" xml:space="preserve"> C203*B204 / 100</f>
        <v>162.96869024675033</v>
      </c>
      <c r="D204" s="12">
        <v>98.3</v>
      </c>
      <c r="E204" s="1">
        <f t="shared" ref="E204:E217" si="86">E203*D204 / 100</f>
        <v>117.07102925081642</v>
      </c>
      <c r="F204" s="8">
        <v>99.3</v>
      </c>
      <c r="G204" s="1">
        <f t="shared" ref="G204:G217" si="87">G203*F204 / 100</f>
        <v>132.78408530165498</v>
      </c>
      <c r="H204" s="6">
        <v>101.4</v>
      </c>
      <c r="I204" s="2">
        <f t="shared" si="84"/>
        <v>216.75426668752792</v>
      </c>
      <c r="J204" s="10">
        <v>107.74</v>
      </c>
      <c r="K204" s="5">
        <v>2578</v>
      </c>
      <c r="L204" s="24">
        <v>21</v>
      </c>
      <c r="M204" s="1">
        <v>74.349999999999994</v>
      </c>
      <c r="N204" s="1">
        <v>13.51</v>
      </c>
      <c r="O204" s="28">
        <v>1.7865923643112183</v>
      </c>
    </row>
    <row r="205" spans="1:15" x14ac:dyDescent="0.2">
      <c r="A205" s="21" t="s">
        <v>216</v>
      </c>
      <c r="B205" s="2">
        <v>115.2</v>
      </c>
      <c r="C205" s="1">
        <f t="shared" si="85"/>
        <v>187.73993116425638</v>
      </c>
      <c r="D205" s="12">
        <v>116.3</v>
      </c>
      <c r="E205" s="1">
        <f t="shared" si="86"/>
        <v>136.15360701869949</v>
      </c>
      <c r="F205" s="8">
        <v>106.4</v>
      </c>
      <c r="G205" s="1">
        <f t="shared" si="87"/>
        <v>141.28226676096091</v>
      </c>
      <c r="H205" s="2">
        <v>101.3</v>
      </c>
      <c r="I205" s="2">
        <f t="shared" si="84"/>
        <v>219.57207215446579</v>
      </c>
      <c r="J205" s="14">
        <v>101.68</v>
      </c>
      <c r="K205" s="5">
        <v>2883.04</v>
      </c>
      <c r="L205" s="24">
        <v>21</v>
      </c>
      <c r="M205" s="1">
        <v>73.86</v>
      </c>
      <c r="N205" s="1">
        <v>17.350000000000001</v>
      </c>
      <c r="O205" s="28">
        <v>2.2487459182739258</v>
      </c>
    </row>
    <row r="206" spans="1:15" x14ac:dyDescent="0.2">
      <c r="A206" s="21" t="s">
        <v>217</v>
      </c>
      <c r="B206" s="2">
        <v>75.400000000000006</v>
      </c>
      <c r="C206" s="1">
        <f t="shared" si="85"/>
        <v>141.55590809784931</v>
      </c>
      <c r="D206" s="12">
        <v>80.3</v>
      </c>
      <c r="E206" s="1">
        <f t="shared" si="86"/>
        <v>109.33134643601568</v>
      </c>
      <c r="F206" s="2">
        <v>93.6</v>
      </c>
      <c r="G206" s="1">
        <f t="shared" si="87"/>
        <v>132.24020168825939</v>
      </c>
      <c r="H206" s="2">
        <v>101.2</v>
      </c>
      <c r="I206" s="2">
        <f t="shared" si="84"/>
        <v>222.20693702031937</v>
      </c>
      <c r="J206" s="4">
        <v>98.01</v>
      </c>
      <c r="K206" s="5">
        <v>2948.1</v>
      </c>
      <c r="L206" s="24">
        <v>21</v>
      </c>
      <c r="M206" s="1">
        <v>79.27</v>
      </c>
      <c r="N206" s="1">
        <v>16.43</v>
      </c>
      <c r="O206" s="28">
        <v>0.85358625650405884</v>
      </c>
    </row>
    <row r="207" spans="1:15" x14ac:dyDescent="0.2">
      <c r="A207" s="21" t="s">
        <v>218</v>
      </c>
      <c r="B207" s="2">
        <v>99.4</v>
      </c>
      <c r="C207" s="1">
        <f t="shared" si="85"/>
        <v>140.70657264926223</v>
      </c>
      <c r="D207" s="12">
        <v>98.9</v>
      </c>
      <c r="E207" s="1">
        <f t="shared" si="86"/>
        <v>108.12870162521951</v>
      </c>
      <c r="F207" s="2">
        <v>101.2</v>
      </c>
      <c r="G207" s="1">
        <f t="shared" si="87"/>
        <v>133.82708410851851</v>
      </c>
      <c r="H207" s="2">
        <v>100.8</v>
      </c>
      <c r="I207" s="2">
        <f t="shared" si="84"/>
        <v>223.98459251648194</v>
      </c>
      <c r="J207" s="4">
        <v>87.7</v>
      </c>
      <c r="K207" s="5">
        <v>3200.48</v>
      </c>
      <c r="L207" s="24">
        <v>21</v>
      </c>
      <c r="M207" s="1">
        <v>75.44</v>
      </c>
      <c r="N207" s="1">
        <v>19.63</v>
      </c>
      <c r="O207" s="28">
        <v>0.99578708410263062</v>
      </c>
    </row>
    <row r="208" spans="1:15" x14ac:dyDescent="0.2">
      <c r="A208" s="21" t="s">
        <v>219</v>
      </c>
      <c r="B208" s="8">
        <v>109.9</v>
      </c>
      <c r="C208" s="1">
        <f t="shared" si="85"/>
        <v>154.6365233415392</v>
      </c>
      <c r="D208" s="12">
        <v>107.9</v>
      </c>
      <c r="E208" s="1">
        <f t="shared" si="86"/>
        <v>116.67086905361185</v>
      </c>
      <c r="F208" s="2">
        <v>101.9</v>
      </c>
      <c r="G208" s="1">
        <f t="shared" si="87"/>
        <v>136.36979870658035</v>
      </c>
      <c r="H208" s="2">
        <v>100.7</v>
      </c>
      <c r="I208" s="2">
        <f t="shared" si="84"/>
        <v>225.55248466409731</v>
      </c>
      <c r="J208" s="4">
        <v>83.68</v>
      </c>
      <c r="K208" s="5">
        <v>3013.36</v>
      </c>
      <c r="L208" s="24">
        <v>21</v>
      </c>
      <c r="M208" s="1">
        <v>72.73</v>
      </c>
      <c r="N208" s="1">
        <v>22.28</v>
      </c>
      <c r="O208" s="28">
        <v>1.4380146265029907</v>
      </c>
    </row>
    <row r="209" spans="1:15" x14ac:dyDescent="0.2">
      <c r="A209" s="21" t="s">
        <v>220</v>
      </c>
      <c r="B209" s="2">
        <v>96.4</v>
      </c>
      <c r="C209" s="1">
        <f t="shared" si="85"/>
        <v>149.06960850124381</v>
      </c>
      <c r="D209" s="12">
        <v>98</v>
      </c>
      <c r="E209" s="1">
        <f t="shared" si="86"/>
        <v>114.33745167253961</v>
      </c>
      <c r="F209" s="2">
        <v>100.2</v>
      </c>
      <c r="G209" s="1">
        <f t="shared" si="87"/>
        <v>136.64253830399352</v>
      </c>
      <c r="H209" s="2">
        <v>100.4</v>
      </c>
      <c r="I209" s="2">
        <f t="shared" si="84"/>
        <v>226.4546946027537</v>
      </c>
      <c r="J209" s="15">
        <v>81.56</v>
      </c>
      <c r="K209" s="5">
        <v>2918.47</v>
      </c>
      <c r="L209" s="24">
        <v>21</v>
      </c>
      <c r="M209" s="1">
        <v>68.13</v>
      </c>
      <c r="N209" s="1">
        <v>24.7</v>
      </c>
      <c r="O209" s="28">
        <v>1.1165221929550171</v>
      </c>
    </row>
    <row r="210" spans="1:15" x14ac:dyDescent="0.2">
      <c r="A210" s="21" t="s">
        <v>221</v>
      </c>
      <c r="B210" s="2">
        <v>100.9</v>
      </c>
      <c r="C210" s="1">
        <f t="shared" si="85"/>
        <v>150.41123497775502</v>
      </c>
      <c r="D210" s="12">
        <v>102.1</v>
      </c>
      <c r="E210" s="1">
        <f t="shared" si="86"/>
        <v>116.73853815766293</v>
      </c>
      <c r="F210" s="2">
        <v>98.2</v>
      </c>
      <c r="G210" s="1">
        <f t="shared" si="87"/>
        <v>134.18297261452165</v>
      </c>
      <c r="H210" s="2">
        <v>100.4</v>
      </c>
      <c r="I210" s="2">
        <f t="shared" si="84"/>
        <v>227.36051338116474</v>
      </c>
      <c r="J210" s="14">
        <v>78.62</v>
      </c>
      <c r="K210" s="5">
        <v>2828.83</v>
      </c>
      <c r="L210" s="24">
        <v>21</v>
      </c>
      <c r="M210" s="1">
        <v>64.45</v>
      </c>
      <c r="N210" s="1">
        <v>18.57</v>
      </c>
      <c r="O210" s="28">
        <v>1.0400477647781372</v>
      </c>
    </row>
    <row r="211" spans="1:15" x14ac:dyDescent="0.2">
      <c r="A211" s="21" t="s">
        <v>222</v>
      </c>
      <c r="B211" s="2">
        <v>98.6</v>
      </c>
      <c r="C211" s="1">
        <f t="shared" si="85"/>
        <v>148.30547768806645</v>
      </c>
      <c r="D211" s="12">
        <v>100.4</v>
      </c>
      <c r="E211" s="1">
        <f t="shared" si="86"/>
        <v>117.20549231029359</v>
      </c>
      <c r="F211" s="2">
        <v>101.1</v>
      </c>
      <c r="G211" s="1">
        <f t="shared" si="87"/>
        <v>135.65898531328136</v>
      </c>
      <c r="H211" s="2">
        <v>100.2</v>
      </c>
      <c r="I211" s="2">
        <f t="shared" si="84"/>
        <v>227.81523440792705</v>
      </c>
      <c r="J211" s="14">
        <v>78.47</v>
      </c>
      <c r="K211" s="5">
        <v>2847.38</v>
      </c>
      <c r="L211" s="24">
        <v>20.2667</v>
      </c>
      <c r="M211" s="1">
        <v>71.44</v>
      </c>
      <c r="N211" s="1">
        <v>16.73</v>
      </c>
      <c r="O211" s="28">
        <v>1.4479979276657104</v>
      </c>
    </row>
    <row r="212" spans="1:15" x14ac:dyDescent="0.2">
      <c r="A212" s="21" t="s">
        <v>223</v>
      </c>
      <c r="B212" s="2">
        <v>102.2</v>
      </c>
      <c r="C212" s="1">
        <f t="shared" si="85"/>
        <v>151.56819819720391</v>
      </c>
      <c r="D212" s="12">
        <v>104.3</v>
      </c>
      <c r="E212" s="1">
        <f t="shared" si="86"/>
        <v>122.24532847963621</v>
      </c>
      <c r="F212" s="2">
        <v>99.9</v>
      </c>
      <c r="G212" s="1">
        <f t="shared" si="87"/>
        <v>135.52332632796811</v>
      </c>
      <c r="H212" s="2">
        <v>100.6</v>
      </c>
      <c r="I212" s="2">
        <f t="shared" si="84"/>
        <v>229.18212581437459</v>
      </c>
      <c r="J212" s="10">
        <v>81.83</v>
      </c>
      <c r="K212" s="5">
        <v>2732.12</v>
      </c>
      <c r="L212" s="24">
        <v>19.741900000000001</v>
      </c>
      <c r="M212" s="1">
        <v>71.040000000000006</v>
      </c>
      <c r="N212" s="1">
        <v>16.72</v>
      </c>
      <c r="O212" s="28">
        <v>0.92092335224151611</v>
      </c>
    </row>
    <row r="213" spans="1:15" x14ac:dyDescent="0.2">
      <c r="A213" s="21" t="s">
        <v>224</v>
      </c>
      <c r="B213" s="2">
        <v>101</v>
      </c>
      <c r="C213" s="1">
        <f t="shared" si="85"/>
        <v>153.08388017917596</v>
      </c>
      <c r="D213" s="12">
        <v>103.1</v>
      </c>
      <c r="E213" s="1">
        <f t="shared" si="86"/>
        <v>126.03493366250494</v>
      </c>
      <c r="F213" s="2">
        <v>104.1</v>
      </c>
      <c r="G213" s="1">
        <f t="shared" si="87"/>
        <v>141.07978270741481</v>
      </c>
      <c r="H213" s="2">
        <v>99.6</v>
      </c>
      <c r="I213" s="2">
        <f t="shared" si="84"/>
        <v>228.26539731111708</v>
      </c>
      <c r="J213" s="10">
        <v>80.33</v>
      </c>
      <c r="K213" s="5">
        <v>2899.38</v>
      </c>
      <c r="L213" s="24">
        <v>18</v>
      </c>
      <c r="M213" s="1">
        <v>67.87</v>
      </c>
      <c r="N213" s="1">
        <v>15.36</v>
      </c>
      <c r="O213" s="28">
        <v>1.2828655242919922</v>
      </c>
    </row>
    <row r="214" spans="1:15" x14ac:dyDescent="0.2">
      <c r="A214" s="21" t="s">
        <v>225</v>
      </c>
      <c r="B214" s="2">
        <v>100.7</v>
      </c>
      <c r="C214" s="1">
        <f t="shared" si="85"/>
        <v>154.15546734043019</v>
      </c>
      <c r="D214" s="12">
        <v>96.3</v>
      </c>
      <c r="E214" s="1">
        <f t="shared" si="86"/>
        <v>121.37164111699225</v>
      </c>
      <c r="F214" s="2">
        <v>99.3</v>
      </c>
      <c r="G214" s="1">
        <f t="shared" si="87"/>
        <v>140.0922242284629</v>
      </c>
      <c r="H214" s="2">
        <v>100.3</v>
      </c>
      <c r="I214" s="2">
        <f t="shared" si="84"/>
        <v>228.95019350305043</v>
      </c>
      <c r="J214" s="10">
        <v>82.87</v>
      </c>
      <c r="K214" s="5">
        <v>2684.6</v>
      </c>
      <c r="L214" s="24">
        <v>17.466699999999999</v>
      </c>
      <c r="M214" s="1">
        <v>67.989999999999995</v>
      </c>
      <c r="N214" s="1">
        <v>16.28</v>
      </c>
      <c r="O214" s="28">
        <v>0.92581164836883545</v>
      </c>
    </row>
    <row r="215" spans="1:15" x14ac:dyDescent="0.2">
      <c r="A215" s="21" t="s">
        <v>226</v>
      </c>
      <c r="B215" s="2">
        <v>108.9</v>
      </c>
      <c r="C215" s="1">
        <f t="shared" si="85"/>
        <v>167.8753039337285</v>
      </c>
      <c r="D215" s="12">
        <v>102.7</v>
      </c>
      <c r="E215" s="1">
        <f t="shared" si="86"/>
        <v>124.64867542715105</v>
      </c>
      <c r="F215" s="2">
        <v>99.9</v>
      </c>
      <c r="G215" s="1">
        <f t="shared" si="87"/>
        <v>139.95213200423444</v>
      </c>
      <c r="H215" s="11">
        <v>100.5</v>
      </c>
      <c r="I215" s="2">
        <f t="shared" si="84"/>
        <v>230.09494447056568</v>
      </c>
      <c r="J215" s="14">
        <v>80.5</v>
      </c>
      <c r="K215" s="5">
        <v>2525.1999999999998</v>
      </c>
      <c r="L215" s="24">
        <v>16.9194</v>
      </c>
      <c r="M215" s="1">
        <v>64.540000000000006</v>
      </c>
      <c r="N215" s="1">
        <v>17.440000000000001</v>
      </c>
      <c r="O215" s="28">
        <v>0.8526187539100647</v>
      </c>
    </row>
    <row r="216" spans="1:15" x14ac:dyDescent="0.2">
      <c r="A216" s="21" t="s">
        <v>227</v>
      </c>
      <c r="B216" s="2">
        <v>97.4</v>
      </c>
      <c r="C216" s="1">
        <f t="shared" si="85"/>
        <v>163.51054603145158</v>
      </c>
      <c r="D216" s="12">
        <v>96.9</v>
      </c>
      <c r="E216" s="1">
        <f t="shared" si="86"/>
        <v>120.78456648890936</v>
      </c>
      <c r="F216" s="8">
        <v>99.3</v>
      </c>
      <c r="G216" s="1">
        <f t="shared" si="87"/>
        <v>138.97246708020481</v>
      </c>
      <c r="H216" s="6">
        <v>100.4</v>
      </c>
      <c r="I216" s="2">
        <f t="shared" si="84"/>
        <v>231.01532424844794</v>
      </c>
      <c r="J216" s="10">
        <v>78.23</v>
      </c>
      <c r="K216" s="5">
        <v>2676.42</v>
      </c>
      <c r="L216" s="24">
        <v>16.5</v>
      </c>
      <c r="M216" s="1">
        <v>63.8</v>
      </c>
      <c r="N216" s="1">
        <v>16.350000000000001</v>
      </c>
      <c r="O216" s="28">
        <v>0.88117146492004395</v>
      </c>
    </row>
    <row r="217" spans="1:15" x14ac:dyDescent="0.2">
      <c r="A217" s="21" t="s">
        <v>228</v>
      </c>
      <c r="B217" s="2">
        <v>119</v>
      </c>
      <c r="C217" s="1">
        <f t="shared" si="85"/>
        <v>194.57754977742738</v>
      </c>
      <c r="D217" s="12">
        <v>117.1</v>
      </c>
      <c r="E217" s="1">
        <f t="shared" si="86"/>
        <v>141.43872735851286</v>
      </c>
      <c r="F217" s="8">
        <v>106.9</v>
      </c>
      <c r="G217" s="1">
        <f t="shared" si="87"/>
        <v>148.56156730873894</v>
      </c>
      <c r="H217" s="6">
        <v>100.3</v>
      </c>
      <c r="I217" s="2">
        <f t="shared" si="84"/>
        <v>231.70837022119329</v>
      </c>
      <c r="J217" s="10">
        <v>78.23</v>
      </c>
      <c r="K217" s="5">
        <v>2766.62</v>
      </c>
      <c r="L217" s="24">
        <v>16.338699999999999</v>
      </c>
      <c r="M217" s="1">
        <v>62.54</v>
      </c>
      <c r="N217" s="1">
        <v>14.95</v>
      </c>
      <c r="O217" s="28">
        <v>1.2222665548324585</v>
      </c>
    </row>
    <row r="218" spans="1:15" x14ac:dyDescent="0.2">
      <c r="A218" s="23"/>
      <c r="O218" s="28"/>
    </row>
    <row r="219" spans="1:15" x14ac:dyDescent="0.2">
      <c r="O219" s="28"/>
    </row>
    <row r="220" spans="1:15" x14ac:dyDescent="0.2">
      <c r="O220" s="28"/>
    </row>
  </sheetData>
  <pageMargins left="0.7" right="0.7" top="0.75" bottom="0.75" header="0.3" footer="0.3"/>
  <ignoredErrors>
    <ignoredError sqref="C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Egor Oskin</dc:creator>
  <cp:lastModifiedBy>Egor Oskin</cp:lastModifiedBy>
  <dcterms:created xsi:type="dcterms:W3CDTF">2026-04-21T08:57:34Z</dcterms:created>
  <dcterms:modified xsi:type="dcterms:W3CDTF">2026-04-22T13:01:45Z</dcterms:modified>
</cp:coreProperties>
</file>